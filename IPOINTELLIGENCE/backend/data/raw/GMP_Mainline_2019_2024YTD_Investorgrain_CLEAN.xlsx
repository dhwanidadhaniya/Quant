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p\Downloads\ipo_work\"/>
    </mc:Choice>
  </mc:AlternateContent>
  <xr:revisionPtr revIDLastSave="0" documentId="13_ncr:1_{A6859C14-6A01-4350-ABB6-3F0BBBB05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tc={9E0141AE-0544-46BE-9C52-1B178A0C829D}</author>
    <author>tc={73F45BBC-2C28-4CEA-8C9B-9C077239844F}</author>
  </authors>
  <commentList>
    <comment ref="L1" authorId="0" shapeId="0" xr:uid="{9E0141AE-0544-46BE-9C52-1B178A0C829D}">
      <text>
        <t>[Threaded comment]
Your version of Excel allows you to read this threaded comment; however, any edits to it will get removed if the file is opened in a newer version of Excel. Learn more: https://go.microsoft.com/fwlink/?linkid=870924
Comment:
    GMP flag is 1 if GMP value is positive, GMP flag is 0 if GMP value is 0, GMP flag is -1 if GMP value is negative</t>
      </text>
    </comment>
    <comment ref="M1" authorId="1" shapeId="0" xr:uid="{73F45BBC-2C28-4CEA-8C9B-9C077239844F}">
      <text>
        <t>[Threaded comment]
Your version of Excel allows you to read this threaded comment; however, any edits to it will get removed if the file is opened in a newer version of Excel. Learn more: https://go.microsoft.com/fwlink/?linkid=870924
Comment:
    1,0,-1 if IPO listing price was more, equal, less than IPO issue price respectively</t>
      </text>
    </comment>
  </commentList>
</comments>
</file>

<file path=xl/sharedStrings.xml><?xml version="1.0" encoding="utf-8"?>
<sst xmlns="http://schemas.openxmlformats.org/spreadsheetml/2006/main" count="1331" uniqueCount="1271">
  <si>
    <t>IPO</t>
  </si>
  <si>
    <t>Listing Date</t>
  </si>
  <si>
    <t>IPO_Size</t>
  </si>
  <si>
    <t>Subscription</t>
  </si>
  <si>
    <t>GMP</t>
  </si>
  <si>
    <t>Estimated Price</t>
  </si>
  <si>
    <t>Closing Price</t>
  </si>
  <si>
    <t>LTP</t>
  </si>
  <si>
    <t>Mrs. Bectors Food IPO (BECTORFOOD,543253)</t>
  </si>
  <si>
    <t>28-Dec-2020</t>
  </si>
  <si>
    <t>198.02x</t>
  </si>
  <si>
    <t>Burger King IPO ()</t>
  </si>
  <si>
    <t>14-Dec-2020</t>
  </si>
  <si>
    <t>156.65x</t>
  </si>
  <si>
    <t>-</t>
  </si>
  <si>
    <t>Gland Pharma IPO ()</t>
  </si>
  <si>
    <t>20-Nov-2020</t>
  </si>
  <si>
    <t>2.06x</t>
  </si>
  <si>
    <t>Equitas SFB IPO (TBD,TBD)</t>
  </si>
  <si>
    <t>2-Nov-2020</t>
  </si>
  <si>
    <t>1.95x</t>
  </si>
  <si>
    <t>Likhitha Infrastructure IPO (LIKHITHA,543240)</t>
  </si>
  <si>
    <t>15-Oct-2020</t>
  </si>
  <si>
    <t>9.51x</t>
  </si>
  <si>
    <t>Mazagon Dock IPO (MAZDOCK,543237)</t>
  </si>
  <si>
    <t>12-Oct-2020</t>
  </si>
  <si>
    <t>157.41x</t>
  </si>
  <si>
    <t>UTI AMC IPO (UTIAMC,543238)</t>
  </si>
  <si>
    <t>2.31x</t>
  </si>
  <si>
    <t>CAMS IPO (NA,543232)</t>
  </si>
  <si>
    <t>1-Oct-2020</t>
  </si>
  <si>
    <t>46.99x</t>
  </si>
  <si>
    <t>Chemcon IPO (CHEMCON,543233)</t>
  </si>
  <si>
    <t>149.30x</t>
  </si>
  <si>
    <t>Angel Broking IPO ()</t>
  </si>
  <si>
    <t>5-Oct-2020</t>
  </si>
  <si>
    <t>3.94x</t>
  </si>
  <si>
    <t>Route Mobile IPO (ROUTE,543228)</t>
  </si>
  <si>
    <t>21-Sep-2020</t>
  </si>
  <si>
    <t>73.30x</t>
  </si>
  <si>
    <t>CMS Info Systems IPO (CMSINFO,543441)</t>
  </si>
  <si>
    <t>31-Dec-2021</t>
  </si>
  <si>
    <t>Supriya Lifescience IPO (SUPRIYA,543434)</t>
  </si>
  <si>
    <t>28-Dec-2021</t>
  </si>
  <si>
    <t>71.51x</t>
  </si>
  <si>
    <t>HP Adhesives IPO (HPAL,543433)</t>
  </si>
  <si>
    <t>27-Dec-2021</t>
  </si>
  <si>
    <t>20.96x</t>
  </si>
  <si>
    <t>Data Patterns IPO (DATAPATTNS,543428)</t>
  </si>
  <si>
    <t>24-Dec-2021</t>
  </si>
  <si>
    <t>119.62x</t>
  </si>
  <si>
    <t>Medplus Health IPO (MEDPLUS,543427)</t>
  </si>
  <si>
    <t>23-Dec-2021</t>
  </si>
  <si>
    <t>52.59x</t>
  </si>
  <si>
    <t>Metro Brands IPO (METROBRAND,543426)</t>
  </si>
  <si>
    <t>22-Dec-2021</t>
  </si>
  <si>
    <t>3.64x</t>
  </si>
  <si>
    <t>MapmyIndia IPO (MAPMYINDIA,543425)</t>
  </si>
  <si>
    <t>21-Dec-2021</t>
  </si>
  <si>
    <t>154.71x</t>
  </si>
  <si>
    <t>Shriram Properties IPO (SHRIRAMPPS,543419)</t>
  </si>
  <si>
    <t>20-Dec-2021</t>
  </si>
  <si>
    <t>4.60x</t>
  </si>
  <si>
    <t>RateGain IPO (RATEGAIN,543417)</t>
  </si>
  <si>
    <t>17-Dec-2021</t>
  </si>
  <si>
    <t>17.41x</t>
  </si>
  <si>
    <t>Anand Rathi IPO (ANANDRATHI,543415)</t>
  </si>
  <si>
    <t>14-Dec-2021</t>
  </si>
  <si>
    <t>9.78x</t>
  </si>
  <si>
    <t>Tega Industries IPO (TEGA,543413)</t>
  </si>
  <si>
    <t>13-Dec-2021</t>
  </si>
  <si>
    <t>219.04x</t>
  </si>
  <si>
    <t>Star Health IPO (STARHEALTH,543412)</t>
  </si>
  <si>
    <t>10-Dec-2021</t>
  </si>
  <si>
    <t>0.79x</t>
  </si>
  <si>
    <t>Go Fashion IPO (GOCOLORS	,543401)</t>
  </si>
  <si>
    <t>30-Nov-2021</t>
  </si>
  <si>
    <t>135.46x</t>
  </si>
  <si>
    <t>Tarsons Products IPO (TARSONS,543399)</t>
  </si>
  <si>
    <t>26-Nov-2021</t>
  </si>
  <si>
    <t>77.49x</t>
  </si>
  <si>
    <t>Latent View Analytics IPO (LATENTVIEW,543398)</t>
  </si>
  <si>
    <t>23-Nov-2021</t>
  </si>
  <si>
    <t>326.49x</t>
  </si>
  <si>
    <t>Sapphire Foods IPO (Sapphire,543397)</t>
  </si>
  <si>
    <t>18-Nov-2021</t>
  </si>
  <si>
    <t>6.62x</t>
  </si>
  <si>
    <t>Paytm IPO (PAYTM,543396)</t>
  </si>
  <si>
    <t>1.89x</t>
  </si>
  <si>
    <t>SJS Enterprises IPO (SJS,543387)</t>
  </si>
  <si>
    <t>15-Nov-2021</t>
  </si>
  <si>
    <t>1.59x</t>
  </si>
  <si>
    <t>Sigachi Industries IPO (SIGACHI,543389)</t>
  </si>
  <si>
    <t>101.91x</t>
  </si>
  <si>
    <t>Policybazaar IPO (POLICYBZR,543390)</t>
  </si>
  <si>
    <t>16.58x</t>
  </si>
  <si>
    <t>Nykaa IPO (NYKAA,543384)</t>
  </si>
  <si>
    <t>10-Nov-2021</t>
  </si>
  <si>
    <t>81.78x</t>
  </si>
  <si>
    <t>Aditya Birla AMC IPO (ABSLAMC,543374)</t>
  </si>
  <si>
    <t>11-Oct-2021</t>
  </si>
  <si>
    <t>5.25x</t>
  </si>
  <si>
    <t>Paras Defence IPO (PARAS,543367)</t>
  </si>
  <si>
    <t>1-Oct-2021</t>
  </si>
  <si>
    <t>304.26x</t>
  </si>
  <si>
    <t>Sansera Engineering IPO (SANSERA,543358)</t>
  </si>
  <si>
    <t>24-Sep-2021</t>
  </si>
  <si>
    <t>11.47x</t>
  </si>
  <si>
    <t>Ami Organics IPO (AMIORG,543349)</t>
  </si>
  <si>
    <t>14-Sep-2021</t>
  </si>
  <si>
    <t>64.54x</t>
  </si>
  <si>
    <t>Vijaya Diagnostic IPO (VIJAYA,543350)</t>
  </si>
  <si>
    <t>4.54x</t>
  </si>
  <si>
    <t>Aptus Value Housing IPO (APTUS,543335)</t>
  </si>
  <si>
    <t>24-Aug-2021</t>
  </si>
  <si>
    <t>17.20x</t>
  </si>
  <si>
    <t>Chemplast Sanmar IPO (CHEMPLASTS,543336)</t>
  </si>
  <si>
    <t>2.17x</t>
  </si>
  <si>
    <t>Nuvoco Vistas Corporation IPO (NUVOCO,543334)</t>
  </si>
  <si>
    <t>23-Aug-2021</t>
  </si>
  <si>
    <t>1.71x</t>
  </si>
  <si>
    <t>CarTrade Tech IPO (CARTRADE,543333)</t>
  </si>
  <si>
    <t>20-Aug-2021</t>
  </si>
  <si>
    <t>20.29x</t>
  </si>
  <si>
    <t>Devyani International IPO (DEVYANI,543330)</t>
  </si>
  <si>
    <t>16-Aug-2021</t>
  </si>
  <si>
    <t>116.70x</t>
  </si>
  <si>
    <t>Krsnaa Diagnostics IPO (KRSNAA,543328)</t>
  </si>
  <si>
    <t>64.38x</t>
  </si>
  <si>
    <t>Windlas Biotech IPO (WINDLAS,543329)</t>
  </si>
  <si>
    <t>22.44x</t>
  </si>
  <si>
    <t>Exxaro Tiles IPO (EXXARO	,543327)</t>
  </si>
  <si>
    <t>22.65x</t>
  </si>
  <si>
    <t>Rolex Rings IPO (ROLEXRINGS,543323)</t>
  </si>
  <si>
    <t>9-Aug-2021</t>
  </si>
  <si>
    <t>130.44x</t>
  </si>
  <si>
    <t>Glenmark Life Sciences IPO (GLS,543322)</t>
  </si>
  <si>
    <t>6-Aug-2021</t>
  </si>
  <si>
    <t>44.17x</t>
  </si>
  <si>
    <t>Tatva Chintan Pharma IPO (TATVA,543321)</t>
  </si>
  <si>
    <t>29-Jul-2021</t>
  </si>
  <si>
    <t>180.36x</t>
  </si>
  <si>
    <t>Zomato IPO (Zomato,543320)</t>
  </si>
  <si>
    <t>23-Jul-2021</t>
  </si>
  <si>
    <t>38.25x</t>
  </si>
  <si>
    <t>G R Infraprojects IPO (GRINFRA,543317)</t>
  </si>
  <si>
    <t>19-Jul-2021</t>
  </si>
  <si>
    <t>102.58x</t>
  </si>
  <si>
    <t>Clean Science and IPO (CLEAN,543318)</t>
  </si>
  <si>
    <t>93.41x</t>
  </si>
  <si>
    <t>India Pesticides IPO (IPL,543311)</t>
  </si>
  <si>
    <t>5-Jul-2021</t>
  </si>
  <si>
    <t>29.04x</t>
  </si>
  <si>
    <t>KIMS IPO (KIMS,543307)</t>
  </si>
  <si>
    <t>28-Jun-2021</t>
  </si>
  <si>
    <t>3.86x</t>
  </si>
  <si>
    <t>Dodla Dairy IPO (DODLA,543306)</t>
  </si>
  <si>
    <t>45.62x</t>
  </si>
  <si>
    <t>Shyam Metalics and IPO ()</t>
  </si>
  <si>
    <t>24-Jun-2021</t>
  </si>
  <si>
    <t>121.43x</t>
  </si>
  <si>
    <t>Sona Comstar IPO (SONACOMS,543300)</t>
  </si>
  <si>
    <t>2.28x</t>
  </si>
  <si>
    <t>Kalyan Jewellers IPO (KALYANKJIL,543278)</t>
  </si>
  <si>
    <t>26-Mar-2021</t>
  </si>
  <si>
    <t>2.61x</t>
  </si>
  <si>
    <t>Suryoday Small Finance IPO (SURYODAY,543279)</t>
  </si>
  <si>
    <t>2.37x</t>
  </si>
  <si>
    <t>Nazara Technologies IPO (NAZARA,543280)</t>
  </si>
  <si>
    <t>30-Mar-2021</t>
  </si>
  <si>
    <t>175.46x</t>
  </si>
  <si>
    <t>Laxmi Organic IPO (LXCHEM,543277)</t>
  </si>
  <si>
    <t>25-Mar-2021</t>
  </si>
  <si>
    <t>106.81x</t>
  </si>
  <si>
    <t>Craftsman Automation IPO (CRAFTSMAN,543276)</t>
  </si>
  <si>
    <t>3.82x</t>
  </si>
  <si>
    <t>Anupam Rasayan IPO (ANURAS,543275)</t>
  </si>
  <si>
    <t>24-Mar-2021</t>
  </si>
  <si>
    <t>44.06x</t>
  </si>
  <si>
    <t>EaseMyTrip IPO ()</t>
  </si>
  <si>
    <t>19-Mar-2021</t>
  </si>
  <si>
    <t>159.33x</t>
  </si>
  <si>
    <t>MTAR Technologies IPO (MTARTECH,543270)</t>
  </si>
  <si>
    <t>15-Mar-2021</t>
  </si>
  <si>
    <t>200.79x</t>
  </si>
  <si>
    <t>Heranba Industries Limited IPO ()</t>
  </si>
  <si>
    <t>5-Mar-2021</t>
  </si>
  <si>
    <t>83.29x</t>
  </si>
  <si>
    <t>Nureca Limited IPO ()</t>
  </si>
  <si>
    <t>25-Feb-2021</t>
  </si>
  <si>
    <t>100 Cr</t>
  </si>
  <si>
    <t>39.93x</t>
  </si>
  <si>
    <t>RailTel IPO ()</t>
  </si>
  <si>
    <t>26-Feb-2021</t>
  </si>
  <si>
    <t>42.39x</t>
  </si>
  <si>
    <t>Stove Kraft IPO (STOVEKRAFT,543260)</t>
  </si>
  <si>
    <t>5-Feb-2021</t>
  </si>
  <si>
    <t>18.03x</t>
  </si>
  <si>
    <t>HFFC Limited IPO (HOMEFIRST,543259)</t>
  </si>
  <si>
    <t>3-Feb-2021</t>
  </si>
  <si>
    <t>26.66x</t>
  </si>
  <si>
    <t>Indigo Paints IPO (INDIGOPNTS,543258)</t>
  </si>
  <si>
    <t>2-Feb-2021</t>
  </si>
  <si>
    <t>117.02x</t>
  </si>
  <si>
    <t>IRFC IPO (IRFC,543257)</t>
  </si>
  <si>
    <t>29-Jan-2021</t>
  </si>
  <si>
    <t>3.49x</t>
  </si>
  <si>
    <t>Antony Waste Ltd IPO (AWHCL,543254)</t>
  </si>
  <si>
    <t>1-Jan-2021</t>
  </si>
  <si>
    <t>15.04x</t>
  </si>
  <si>
    <t>Elin Electronics IPO (ELIN,543725)</t>
  </si>
  <si>
    <t>30-Dec-2022</t>
  </si>
  <si>
    <t>3.09x</t>
  </si>
  <si>
    <t>KFin Technologies IPO (KFINTECH,543720)</t>
  </si>
  <si>
    <t>29-Dec-2022</t>
  </si>
  <si>
    <t>2.59x</t>
  </si>
  <si>
    <t>Landmark Cars IPO (LANDMARK,543714)</t>
  </si>
  <si>
    <t>23-Dec-2022</t>
  </si>
  <si>
    <t>3.06x</t>
  </si>
  <si>
    <t>Abans Holdings IPO (AHL,543712)</t>
  </si>
  <si>
    <t>1.10x</t>
  </si>
  <si>
    <t>Sula Vineyards IPO (SULA,543711)</t>
  </si>
  <si>
    <t>22-Dec-2022</t>
  </si>
  <si>
    <t>2.33x</t>
  </si>
  <si>
    <t>Uniparts India IPO (UNIPARTS,543689)</t>
  </si>
  <si>
    <t>12-Dec-2022</t>
  </si>
  <si>
    <t>25.32x</t>
  </si>
  <si>
    <t>Dharmaj Crop Guard IPO (DHARMAJ,543687)</t>
  </si>
  <si>
    <t>8-Dec-2022</t>
  </si>
  <si>
    <t>35.49x</t>
  </si>
  <si>
    <t>Keystone Realtors IPO (RUSTOMJEE,543669)</t>
  </si>
  <si>
    <t>24-Nov-2022</t>
  </si>
  <si>
    <t>2.01x</t>
  </si>
  <si>
    <t>Inox Green Energy IPO (INOXGREEN,543667)</t>
  </si>
  <si>
    <t>23-Nov-2022</t>
  </si>
  <si>
    <t>1.55x</t>
  </si>
  <si>
    <t>Kaynes Technology India IPO (KAYNES,543664)</t>
  </si>
  <si>
    <t>22-Nov-2022</t>
  </si>
  <si>
    <t>34.16x</t>
  </si>
  <si>
    <t>Archean Chemical IPO (ACI,543657)</t>
  </si>
  <si>
    <t>21-Nov-2022</t>
  </si>
  <si>
    <t>32.23x</t>
  </si>
  <si>
    <t>Five Star Business IPO (FIVESTAR,543663)</t>
  </si>
  <si>
    <t>0.70x</t>
  </si>
  <si>
    <t>Global Health IPO (MEDANTA,543654)</t>
  </si>
  <si>
    <t>16-Nov-2022</t>
  </si>
  <si>
    <t>9.58x</t>
  </si>
  <si>
    <t>Bikaji Foods International IPO (BIKAJI,543653)</t>
  </si>
  <si>
    <t>26.67x</t>
  </si>
  <si>
    <t>Fusion Micro Finance IPO (FUSION,543652)</t>
  </si>
  <si>
    <t>15-Nov-2022</t>
  </si>
  <si>
    <t>2.95x</t>
  </si>
  <si>
    <t>DCX Systems IPO (DCXINDIA,543650)</t>
  </si>
  <si>
    <t>11-Nov-2022</t>
  </si>
  <si>
    <t>69.79x</t>
  </si>
  <si>
    <t>Tracxn Technologies IPO (TRACXN,543638)</t>
  </si>
  <si>
    <t>20-Oct-2022</t>
  </si>
  <si>
    <t>Electronics Mart India IPO (EMIL,543626)</t>
  </si>
  <si>
    <t>17-Oct-2022</t>
  </si>
  <si>
    <t>71.93x</t>
  </si>
  <si>
    <t>Harsha Engineers International IPO (HARSHA,543600)</t>
  </si>
  <si>
    <t>26-Sep-2022</t>
  </si>
  <si>
    <t>74.70x</t>
  </si>
  <si>
    <t>Tamilnad Mercantile Bank IPO (TMB,543596)</t>
  </si>
  <si>
    <t>15-Sep-2022</t>
  </si>
  <si>
    <t>2.86x</t>
  </si>
  <si>
    <t>Dreamfolks Services IPO (DREAMFOLKS,543591)</t>
  </si>
  <si>
    <t>6-Sep-2022</t>
  </si>
  <si>
    <t>56.68x</t>
  </si>
  <si>
    <t>Syrma SGS Technology IPO (SYRMA,543573)</t>
  </si>
  <si>
    <t>26-Aug-2022</t>
  </si>
  <si>
    <t>32.61x</t>
  </si>
  <si>
    <t>Aether Industries IPO (aether,543534)</t>
  </si>
  <si>
    <t>3-Jun-2022</t>
  </si>
  <si>
    <t>6.26x</t>
  </si>
  <si>
    <t>eMudhra IPO (EMUDHRA,543533)</t>
  </si>
  <si>
    <t>1-Jun-2022</t>
  </si>
  <si>
    <t>2.72x</t>
  </si>
  <si>
    <t>Ethos Limited IPO (ETHOSLTD,543532)</t>
  </si>
  <si>
    <t>30-May-2022</t>
  </si>
  <si>
    <t>1.04x</t>
  </si>
  <si>
    <t>Paradeep Phosphates IPO (PARADEEP,543530	)</t>
  </si>
  <si>
    <t>27-May-2022</t>
  </si>
  <si>
    <t>1.75x</t>
  </si>
  <si>
    <t>Delhivery IPO (DELHIVERY,543529)</t>
  </si>
  <si>
    <t>24-May-2022</t>
  </si>
  <si>
    <t>1.31x</t>
  </si>
  <si>
    <t>Venus Pipes and IPO (VENUSPIPES,543528)</t>
  </si>
  <si>
    <t>10.77x</t>
  </si>
  <si>
    <t>Prudent Corporate Advisory IPO (PRUDENT,543527)</t>
  </si>
  <si>
    <t>21-May-2022</t>
  </si>
  <si>
    <t>1.22x</t>
  </si>
  <si>
    <t>LIC IPO (LICI,543526)</t>
  </si>
  <si>
    <t>17-May-2022</t>
  </si>
  <si>
    <t>Rainbow Childrens Medicare IPO (RAINBOW,543524)</t>
  </si>
  <si>
    <t>10-May-2022</t>
  </si>
  <si>
    <t>12.43x</t>
  </si>
  <si>
    <t>Campus Activewear IPO (CAMPUS,543523)</t>
  </si>
  <si>
    <t>9-May-2022</t>
  </si>
  <si>
    <t>51.75x</t>
  </si>
  <si>
    <t>Veranda Learning IPO (VERANDA,543514)</t>
  </si>
  <si>
    <t>11-Apr-2022</t>
  </si>
  <si>
    <t>3.53x</t>
  </si>
  <si>
    <t>Hariom Pipe IPO (HARIOMPIPE,543517)</t>
  </si>
  <si>
    <t>13-Apr-2022</t>
  </si>
  <si>
    <t>7.93x</t>
  </si>
  <si>
    <t>Uma Exports IPO (UMAEXPORTS,543513)</t>
  </si>
  <si>
    <t>7-Apr-2022</t>
  </si>
  <si>
    <t>7.67x</t>
  </si>
  <si>
    <t>Vedant Fashions IPO (MANYAVAR,543463)</t>
  </si>
  <si>
    <t>16-Feb-2022</t>
  </si>
  <si>
    <t>2.57x</t>
  </si>
  <si>
    <t>Adani Wilmar IPO (AWL,543458)</t>
  </si>
  <si>
    <t>8-Feb-2022</t>
  </si>
  <si>
    <t>17.37x</t>
  </si>
  <si>
    <t>AGS Transact Technologies IPO (AGSTRA,543451	)</t>
  </si>
  <si>
    <t>31-Jan-2022</t>
  </si>
  <si>
    <t>7.79x</t>
  </si>
  <si>
    <t>Innova Captab IPO (INNOVACAP,544067)</t>
  </si>
  <si>
    <t>29-Dec-2023</t>
  </si>
  <si>
    <t>34.56x</t>
  </si>
  <si>
    <t>Azad Engineering IPO (AZAD,544061)</t>
  </si>
  <si>
    <t>28-Dec-2023</t>
  </si>
  <si>
    <t>83.04x</t>
  </si>
  <si>
    <t>Happy Forgings IPO (HAPPYFORGE,544057)</t>
  </si>
  <si>
    <t>27-Dec-2023</t>
  </si>
  <si>
    <t>82.63x</t>
  </si>
  <si>
    <t>RBZ Jewellers IPO (RBZJEWEL,544060)</t>
  </si>
  <si>
    <t>16.86x</t>
  </si>
  <si>
    <t>Mufti Jeans IPO (MUFTI,544058)</t>
  </si>
  <si>
    <t>51.85x</t>
  </si>
  <si>
    <t>Suraj Estate Developers IPO (SURAJEST,544054)</t>
  </si>
  <si>
    <t>26-Dec-2023</t>
  </si>
  <si>
    <t>16.57x</t>
  </si>
  <si>
    <t>Muthoot Microfin IPO (MUTHOOTMF,544055)</t>
  </si>
  <si>
    <t>12.30x</t>
  </si>
  <si>
    <t>Motisons Jewellers IPO (MOTISONS,544053)</t>
  </si>
  <si>
    <t>173.23x</t>
  </si>
  <si>
    <t>Inox India IPO (INOXINDIA,544046)</t>
  </si>
  <si>
    <t>21-Dec-2023</t>
  </si>
  <si>
    <t>61.28x</t>
  </si>
  <si>
    <t>DOMS IPO (DOMS,544045)</t>
  </si>
  <si>
    <t>20-Dec-2023</t>
  </si>
  <si>
    <t>99.34x</t>
  </si>
  <si>
    <t>India Shelter Finance IPO (INDIASHLTR,544044)</t>
  </si>
  <si>
    <t>38.59x</t>
  </si>
  <si>
    <t>Flair Writing IPO (FLAIR,544030)</t>
  </si>
  <si>
    <t>1-Dec-2023</t>
  </si>
  <si>
    <t>49.28x</t>
  </si>
  <si>
    <t>Fedbank Financial Services IPO (FEDFINA,544027)</t>
  </si>
  <si>
    <t>30-Nov-2023</t>
  </si>
  <si>
    <t>2.24x</t>
  </si>
  <si>
    <t>Tata Technologies IPO (TATATECH,544028)</t>
  </si>
  <si>
    <t>69.43x</t>
  </si>
  <si>
    <t>Gandhar Oil Refinery IPO (GANDHAR,544029)</t>
  </si>
  <si>
    <t>65.63x</t>
  </si>
  <si>
    <t>IREDA IPO (IREDA,544026)</t>
  </si>
  <si>
    <t>29-Nov-2023</t>
  </si>
  <si>
    <t>38.80x</t>
  </si>
  <si>
    <t>ASK Automotive IPO (ASKAUTOLTD,544022)</t>
  </si>
  <si>
    <t>15-Nov-2023</t>
  </si>
  <si>
    <t>51.14x</t>
  </si>
  <si>
    <t>Protean eGov Technologies IPO (544021)</t>
  </si>
  <si>
    <t>13-Nov-2023</t>
  </si>
  <si>
    <t>23.86x</t>
  </si>
  <si>
    <t>ESAF Small Finance IPO (ESAFSFB,544020)</t>
  </si>
  <si>
    <t>10-Nov-2023</t>
  </si>
  <si>
    <t>77.00x</t>
  </si>
  <si>
    <t>Honasa Consumer Limited IPO (HONASA,544014)</t>
  </si>
  <si>
    <t>7-Nov-2023</t>
  </si>
  <si>
    <t>7.61x</t>
  </si>
  <si>
    <t>Cello World Limited IPO (CELLO,544012)</t>
  </si>
  <si>
    <t>6-Nov-2023</t>
  </si>
  <si>
    <t>41.69x</t>
  </si>
  <si>
    <t>Blue Jet Healthcare IPO (BLUEJET,544009)</t>
  </si>
  <si>
    <t>1-Nov-2023</t>
  </si>
  <si>
    <t>7.95x</t>
  </si>
  <si>
    <t>IRM Energy IPO (IRMENERGY,544004)</t>
  </si>
  <si>
    <t>26-Oct-2023</t>
  </si>
  <si>
    <t>27.05x</t>
  </si>
  <si>
    <t>Plaza Wires IPO (PLAZACABLE,544003)</t>
  </si>
  <si>
    <t>12-Oct-2023</t>
  </si>
  <si>
    <t>160.97x</t>
  </si>
  <si>
    <t>Valiant Laboratories IPO (VALIANTLAB,543998)</t>
  </si>
  <si>
    <t>6-Oct-2023</t>
  </si>
  <si>
    <t>29.76x</t>
  </si>
  <si>
    <t>Updater Services IPO (UDS,543996)</t>
  </si>
  <si>
    <t>4-Oct-2023</t>
  </si>
  <si>
    <t>2.96x</t>
  </si>
  <si>
    <t>JSW Infrastructure IPO (JSWINFRA,543994)</t>
  </si>
  <si>
    <t>3-Oct-2023</t>
  </si>
  <si>
    <t>39.36x</t>
  </si>
  <si>
    <t>Manoj Vaibhav Gems IPO (MVGJL,543995)</t>
  </si>
  <si>
    <t>Yatra Online IPO (YATRA,543992)</t>
  </si>
  <si>
    <t>28-Sep-2023</t>
  </si>
  <si>
    <t>1.66x</t>
  </si>
  <si>
    <t>Sai Silks (Kalamandir) IPO (KALAMANDIR,543989)</t>
  </si>
  <si>
    <t>27-Sep-2023</t>
  </si>
  <si>
    <t>4.47x</t>
  </si>
  <si>
    <t>Signatureglobal India IPO (SIGNATURE,543990)</t>
  </si>
  <si>
    <t>12.50x</t>
  </si>
  <si>
    <t>SAMHI Hotels IPO (SAMHI,543984)</t>
  </si>
  <si>
    <t>22-Sep-2023</t>
  </si>
  <si>
    <t>5.57x</t>
  </si>
  <si>
    <t>Zaggle Prepaid Ocean IPO (ZAGGLE,543985)</t>
  </si>
  <si>
    <t>12.86x</t>
  </si>
  <si>
    <t>EMS IPO (EMSLIMITED,543983)</t>
  </si>
  <si>
    <t>21-Sep-2023</t>
  </si>
  <si>
    <t>76.21x</t>
  </si>
  <si>
    <t>R R Kabel IPO (RRKABEL,543981)</t>
  </si>
  <si>
    <t>20-Sep-2023</t>
  </si>
  <si>
    <t>18.69x</t>
  </si>
  <si>
    <t>Jupiter Life Line IPO (JLHL,543980)</t>
  </si>
  <si>
    <t>18-Sep-2023</t>
  </si>
  <si>
    <t>64.80x</t>
  </si>
  <si>
    <t>Ratnaveer Precision Engineering IPO (RATNAVEER,543978)</t>
  </si>
  <si>
    <t>11-Sep-2023</t>
  </si>
  <si>
    <t>93.99x</t>
  </si>
  <si>
    <t>Rishabh Instruments IPO (RISHABH,543977)</t>
  </si>
  <si>
    <t>31.65x</t>
  </si>
  <si>
    <t>Vishnu Prakash R IPO (VPRPL,543974)</t>
  </si>
  <si>
    <t>5-Sep-2023</t>
  </si>
  <si>
    <t>87.82x</t>
  </si>
  <si>
    <t>Aeroflex Industries IPO (AEROFLEX,543972)</t>
  </si>
  <si>
    <t>31-Aug-2023</t>
  </si>
  <si>
    <t>97.11x</t>
  </si>
  <si>
    <t>Pyramid Technoplast IPO (PYRAMID,543969)</t>
  </si>
  <si>
    <t>29-Aug-2023</t>
  </si>
  <si>
    <t>18.29x</t>
  </si>
  <si>
    <t>TVS Supply Chain IPO (TVSSCS,543965)</t>
  </si>
  <si>
    <t>23-Aug-2023</t>
  </si>
  <si>
    <t>2.85x</t>
  </si>
  <si>
    <t>Concord Biotech IPO (CONCORDBIO,543960)</t>
  </si>
  <si>
    <t>18-Aug-2023</t>
  </si>
  <si>
    <t>24.87x</t>
  </si>
  <si>
    <t>SBFC Finance IPO (SBFC,543959)</t>
  </si>
  <si>
    <t>16-Aug-2023</t>
  </si>
  <si>
    <t>74.06x</t>
  </si>
  <si>
    <t>Yatharth Hospital IPO (YATHARTH,543950)</t>
  </si>
  <si>
    <t>7-Aug-2023</t>
  </si>
  <si>
    <t>37.28x</t>
  </si>
  <si>
    <t>Netweb Technologies India IPO (NETWEB,543945)</t>
  </si>
  <si>
    <t>27-Jul-2023</t>
  </si>
  <si>
    <t>90.55x</t>
  </si>
  <si>
    <t>Utkarsh Small Finance IPO (UTKARSHBNK,543942)</t>
  </si>
  <si>
    <t>21-Jul-2023</t>
  </si>
  <si>
    <t>110.77x</t>
  </si>
  <si>
    <t>Senco Gold IPO (SENCO,543936)</t>
  </si>
  <si>
    <t>14-Jul-2023</t>
  </si>
  <si>
    <t>77.25x</t>
  </si>
  <si>
    <t>Cyient DLM IPO (CYIENTDLM,543933)</t>
  </si>
  <si>
    <t>10-Jul-2023</t>
  </si>
  <si>
    <t>71.35x</t>
  </si>
  <si>
    <t>ideaForge Technology IPO (IDEAFORGE,543932)</t>
  </si>
  <si>
    <t>7-Jul-2023</t>
  </si>
  <si>
    <t>106.06x</t>
  </si>
  <si>
    <t>HMA Agro Industries IPO (HMAAGRO,543929)</t>
  </si>
  <si>
    <t>4-Jul-2023</t>
  </si>
  <si>
    <t>1.62x</t>
  </si>
  <si>
    <t>IKIO Lighting IPO (IKIO,543923)</t>
  </si>
  <si>
    <t>16-Jun-2023</t>
  </si>
  <si>
    <t>67.75x</t>
  </si>
  <si>
    <t>Mankind Pharma IPO (MANKIND,543904)</t>
  </si>
  <si>
    <t>9-May-2023</t>
  </si>
  <si>
    <t>15.32x</t>
  </si>
  <si>
    <t>Avalon Technologies IPO (AVALON,543896)</t>
  </si>
  <si>
    <t>18-Apr-2023</t>
  </si>
  <si>
    <t>2.34x</t>
  </si>
  <si>
    <t>Udayshivakumar Infra IPO (USK,543861)</t>
  </si>
  <si>
    <t>3-Apr-2023</t>
  </si>
  <si>
    <t>32.49x</t>
  </si>
  <si>
    <t>Global Surfaces IPO (GSLSU,543829)</t>
  </si>
  <si>
    <t>23-Mar-2023</t>
  </si>
  <si>
    <t>12.21x</t>
  </si>
  <si>
    <t>Divgi TorqTransfer Systems IPO (DIVGIITTS,543812)</t>
  </si>
  <si>
    <t>14-Mar-2023</t>
  </si>
  <si>
    <t>5.44x</t>
  </si>
  <si>
    <t>Sah Polymers IPO (SAH,543743)</t>
  </si>
  <si>
    <t>12-Jan-2023</t>
  </si>
  <si>
    <t>17.46x</t>
  </si>
  <si>
    <t>Radiant Cash Management IPO (RADIANTCMS,543732)</t>
  </si>
  <si>
    <t>4-Jan-2023</t>
  </si>
  <si>
    <t>0.12x</t>
  </si>
  <si>
    <t>Bansal Wire IPO (BANSALWIRE,544209)</t>
  </si>
  <si>
    <t>10-Jul-2024</t>
  </si>
  <si>
    <t>62.76x</t>
  </si>
  <si>
    <t>Emcure Pharma IPO (EMCURE,544210)</t>
  </si>
  <si>
    <t>67.87x</t>
  </si>
  <si>
    <t>Vraj Iron and IPO (VRAJ,544204)</t>
  </si>
  <si>
    <t>3-Jul-2024</t>
  </si>
  <si>
    <t>126.36x</t>
  </si>
  <si>
    <t>Allied Blenders and IPO (ABDL,544203)</t>
  </si>
  <si>
    <t>2-Jul-2024</t>
  </si>
  <si>
    <t>24.85x</t>
  </si>
  <si>
    <t>Stanley lifestyles IPO (STANLEY,544202)</t>
  </si>
  <si>
    <t>28-Jun-2024</t>
  </si>
  <si>
    <t>97.16x</t>
  </si>
  <si>
    <t>DEE Development Engineers IPO (DEEDEV,544198)</t>
  </si>
  <si>
    <t>26-Jun-2024</t>
  </si>
  <si>
    <t>103.03x</t>
  </si>
  <si>
    <t>Aasaan Loans IPO (AFIL,544200)</t>
  </si>
  <si>
    <t>54.49x</t>
  </si>
  <si>
    <t>ixigo IPO (IXIGO,544192)</t>
  </si>
  <si>
    <t>18-Jun-2024</t>
  </si>
  <si>
    <t>98.10x</t>
  </si>
  <si>
    <t>Kronox Lab Sciences IPO (KRONOX,544187)</t>
  </si>
  <si>
    <t>10-Jun-2024</t>
  </si>
  <si>
    <t>117.25x</t>
  </si>
  <si>
    <t>Awfis Space Solutions IPO (AWFIS,544181)</t>
  </si>
  <si>
    <t>30-May-2024</t>
  </si>
  <si>
    <t>108.17x</t>
  </si>
  <si>
    <t>Go Digit General IPO (GODIGIT,544179)</t>
  </si>
  <si>
    <t>23-May-2024</t>
  </si>
  <si>
    <t>9.60x</t>
  </si>
  <si>
    <t>TBO Tek IPO (TBOTEK,544174)</t>
  </si>
  <si>
    <t>15-May-2024</t>
  </si>
  <si>
    <t>86.69x</t>
  </si>
  <si>
    <t>Aadhar Housing Finance IPO (AADHARHFC,544176)</t>
  </si>
  <si>
    <t>26.76x</t>
  </si>
  <si>
    <t>Indegene IPO (INDGN,544172)</t>
  </si>
  <si>
    <t>13-May-2024</t>
  </si>
  <si>
    <t>70.30x</t>
  </si>
  <si>
    <t>JNK India IPO (JNKINDIA,544167)</t>
  </si>
  <si>
    <t>30-Apr-2024</t>
  </si>
  <si>
    <t>28.46x</t>
  </si>
  <si>
    <t>Bharti Hexacom IPO (BHARTIHEXA,544162)</t>
  </si>
  <si>
    <t>12-Apr-2024</t>
  </si>
  <si>
    <t>29.88x</t>
  </si>
  <si>
    <t>SRM Contractors IPO (SRM,544158)</t>
  </si>
  <si>
    <t>3-Apr-2024</t>
  </si>
  <si>
    <t>86.57x</t>
  </si>
  <si>
    <t>Krystal Integrated Services IPO (KRYSTAL)</t>
  </si>
  <si>
    <t>21-Mar-2024</t>
  </si>
  <si>
    <t>13.49x</t>
  </si>
  <si>
    <t>Popular Vehicles &amp; IPO (PVSL,544144)</t>
  </si>
  <si>
    <t>19-Mar-2024</t>
  </si>
  <si>
    <t>1.25x</t>
  </si>
  <si>
    <t>Gopal Snacks IPO (GOPAL,544140)</t>
  </si>
  <si>
    <t>14-Mar-2024</t>
  </si>
  <si>
    <t>9.50x</t>
  </si>
  <si>
    <t>JG Chemicals IPO (JGCHEM,544138)</t>
  </si>
  <si>
    <t>13-Mar-2024</t>
  </si>
  <si>
    <t>28.52x</t>
  </si>
  <si>
    <t>R K SWAMY IPO (RKSWAMY,544136)</t>
  </si>
  <si>
    <t>12-Mar-2024</t>
  </si>
  <si>
    <t>25.78x</t>
  </si>
  <si>
    <t>Bharat Highways InvIT IPO (BHINVIT,544137)</t>
  </si>
  <si>
    <t>6.74x</t>
  </si>
  <si>
    <t>Mukka Proteins IPO (MUKKA,544135)</t>
  </si>
  <si>
    <t>7-Mar-2024</t>
  </si>
  <si>
    <t>136.99x</t>
  </si>
  <si>
    <t>Platinum Industries IPO (PLATIND,544134)</t>
  </si>
  <si>
    <t>5-Mar-2024</t>
  </si>
  <si>
    <t>98.99x</t>
  </si>
  <si>
    <t>Exicom Tele-Systems IPO (EXICOM,544133)</t>
  </si>
  <si>
    <t>133.56x</t>
  </si>
  <si>
    <t>GPT Healthcare IPO (GPTHEALTH,544131)</t>
  </si>
  <si>
    <t>29-Feb-2024</t>
  </si>
  <si>
    <t>8.52x</t>
  </si>
  <si>
    <t>Juniper Hotels IPO (JUNIPER,544129)</t>
  </si>
  <si>
    <t>28-Feb-2024</t>
  </si>
  <si>
    <t>2.18x</t>
  </si>
  <si>
    <t>Vibhor Steel Tubes IPO (VSTL,544124)</t>
  </si>
  <si>
    <t>20-Feb-2024</t>
  </si>
  <si>
    <t>320.05x</t>
  </si>
  <si>
    <t>Entero Healthcare Solutions IPO (ENTERO,544122)</t>
  </si>
  <si>
    <t>16-Feb-2024</t>
  </si>
  <si>
    <t>1.43x</t>
  </si>
  <si>
    <t>Rashi Peripherals IPO (RPTECH,544119)</t>
  </si>
  <si>
    <t>14-Feb-2024</t>
  </si>
  <si>
    <t>62.95x</t>
  </si>
  <si>
    <t>Capital Small Finance IPO (CAPITALSFB,544120)</t>
  </si>
  <si>
    <t>4.17x</t>
  </si>
  <si>
    <t>Jana Small Finance IPO (JSFB,544118)</t>
  </si>
  <si>
    <t>19.89x</t>
  </si>
  <si>
    <t>Apeejay Surrendra Park IPO (PARKHOTELS,544111)</t>
  </si>
  <si>
    <t>12-Feb-2024</t>
  </si>
  <si>
    <t>62.91x</t>
  </si>
  <si>
    <t>BLS E-Services IPO (BLSE,544107)</t>
  </si>
  <si>
    <t>6-Feb-2024</t>
  </si>
  <si>
    <t>82.61x</t>
  </si>
  <si>
    <t>Nova Agri Tech IPO (NOVAAGRI,544100)</t>
  </si>
  <si>
    <t>31-Jan-2024</t>
  </si>
  <si>
    <t>113.21x</t>
  </si>
  <si>
    <t>EPACK Durable IPO (EPACK,544095)</t>
  </si>
  <si>
    <t>30-Jan-2024</t>
  </si>
  <si>
    <t>16.79x</t>
  </si>
  <si>
    <t>Medi Assist Healthcare IPO (MEDIASSIST,544088)</t>
  </si>
  <si>
    <t>23-Jan-2024</t>
  </si>
  <si>
    <t>16.25x</t>
  </si>
  <si>
    <t>Jyoti CNC Automation IPO (JYOTICNC,544081)</t>
  </si>
  <si>
    <t>16-Jan-2024</t>
  </si>
  <si>
    <t>40.49x</t>
  </si>
  <si>
    <t xml:space="preserve"> 540.54 Cr</t>
  </si>
  <si>
    <t>503 (74.65%)</t>
  </si>
  <si>
    <t>1425.1 (394.83%)</t>
  </si>
  <si>
    <t>810 Cr</t>
  </si>
  <si>
    <t>103 (71.67%)</t>
  </si>
  <si>
    <t>6,479.55 Cr</t>
  </si>
  <si>
    <t>1618 (7.87%)</t>
  </si>
  <si>
    <t xml:space="preserve"> 517.60 Cr</t>
  </si>
  <si>
    <t>34 (3.03%)</t>
  </si>
  <si>
    <t>61.20 Cr</t>
  </si>
  <si>
    <t>126 (5.00%)</t>
  </si>
  <si>
    <t>437.15 (264.29%)</t>
  </si>
  <si>
    <t>443.69 Cr</t>
  </si>
  <si>
    <t>250 (72.41%)</t>
  </si>
  <si>
    <t>5047.7 (3381.17%)</t>
  </si>
  <si>
    <t>8420.74 Cr</t>
  </si>
  <si>
    <t>540 (-2.53%)</t>
  </si>
  <si>
    <t>1016.6 (83.50%)</t>
  </si>
  <si>
    <t>2242 Cr</t>
  </si>
  <si>
    <t>1558 (26.67%)</t>
  </si>
  <si>
    <t>4062.35 (230.27%)</t>
  </si>
  <si>
    <t>284 Cr</t>
  </si>
  <si>
    <t>650 (91.18%)</t>
  </si>
  <si>
    <t>260.55 (-23.37%)</t>
  </si>
  <si>
    <t>600 Cr</t>
  </si>
  <si>
    <t>301 (-1.63%)</t>
  </si>
  <si>
    <t>660 (88.57%)</t>
  </si>
  <si>
    <t>1768.1 (405.17%)</t>
  </si>
  <si>
    <t>1100 Cr</t>
  </si>
  <si>
    <t>208 (-3.70%)</t>
  </si>
  <si>
    <t>558.15 (158.40%)</t>
  </si>
  <si>
    <t>700 Cr</t>
  </si>
  <si>
    <t>404 (47.45%)</t>
  </si>
  <si>
    <t>384.45 (40.31%)</t>
  </si>
  <si>
    <t>125.96 Cr</t>
  </si>
  <si>
    <t>354 (29.20%)</t>
  </si>
  <si>
    <t>96.99 (-64.60%)</t>
  </si>
  <si>
    <t>588.20 Cr</t>
  </si>
  <si>
    <t>905 (54.70%)</t>
  </si>
  <si>
    <t>3086.85 (427.67%)</t>
  </si>
  <si>
    <t>1,398.30 Cr</t>
  </si>
  <si>
    <t>921 (15.70%)</t>
  </si>
  <si>
    <t>676.8 (-14.97%)</t>
  </si>
  <si>
    <t>1368 Cr</t>
  </si>
  <si>
    <t>445 (-11.00%)</t>
  </si>
  <si>
    <t>1315.35 (163.07%)</t>
  </si>
  <si>
    <t>1040 Cr</t>
  </si>
  <si>
    <t>1703 (64.86%)</t>
  </si>
  <si>
    <t>2448.55 (137.03%)</t>
  </si>
  <si>
    <t>108 (-8.47%)</t>
  </si>
  <si>
    <t>104.76 (-11.22%)</t>
  </si>
  <si>
    <t>1335 Cr</t>
  </si>
  <si>
    <t>443 (4.24%)</t>
  </si>
  <si>
    <t>810.8 (90.78%)</t>
  </si>
  <si>
    <t>660 Cr</t>
  </si>
  <si>
    <t>595 (8.18%)</t>
  </si>
  <si>
    <t>3796.4 (590.25%)</t>
  </si>
  <si>
    <t>619.23 Cr</t>
  </si>
  <si>
    <t>723 (59.60%)</t>
  </si>
  <si>
    <t>1740.15 (284.14%)</t>
  </si>
  <si>
    <t>7249.18 Cr</t>
  </si>
  <si>
    <t>820 (-8.89%)</t>
  </si>
  <si>
    <t>613.2 (-31.87%)</t>
  </si>
  <si>
    <t>1013.61 Cr</t>
  </si>
  <si>
    <t>1185 (71.74%)</t>
  </si>
  <si>
    <t>1096.7 (58.94%)</t>
  </si>
  <si>
    <t>842 (27.19%)</t>
  </si>
  <si>
    <t>510.5 (-22.89%)</t>
  </si>
  <si>
    <t>462 (134.52%)</t>
  </si>
  <si>
    <t>532.3 (170.20%)</t>
  </si>
  <si>
    <t>2,073 Cr</t>
  </si>
  <si>
    <t>1310 (11.02%)</t>
  </si>
  <si>
    <t>1625.4 (37.75%)</t>
  </si>
  <si>
    <t>18,300 Cr</t>
  </si>
  <si>
    <t>2120 (-1.40%)</t>
  </si>
  <si>
    <t>456.3 (-78.78%)</t>
  </si>
  <si>
    <t>800 Cr</t>
  </si>
  <si>
    <t>612 (12.92%)</t>
  </si>
  <si>
    <t>818.7 (51.05%)</t>
  </si>
  <si>
    <t>125.43 Cr</t>
  </si>
  <si>
    <t>388 (138.04%)</t>
  </si>
  <si>
    <t>59.9 (-63.25%)</t>
  </si>
  <si>
    <t>6,017.5 Cr</t>
  </si>
  <si>
    <t>1115 (13.78%)</t>
  </si>
  <si>
    <t>1497.75 (52.83%)</t>
  </si>
  <si>
    <t>5,351.92 Cr</t>
  </si>
  <si>
    <t>1900 (68.89%)</t>
  </si>
  <si>
    <t>184.77 (-83.58%)</t>
  </si>
  <si>
    <t>2768.26 Cr</t>
  </si>
  <si>
    <t>747 (4.92%)</t>
  </si>
  <si>
    <t>703 (-1.26%)</t>
  </si>
  <si>
    <t>170.78 Cr</t>
  </si>
  <si>
    <t>395 (125.71%)</t>
  </si>
  <si>
    <t>1306.6 (646.63%)</t>
  </si>
  <si>
    <t>1283 Cr</t>
  </si>
  <si>
    <t>804 (8.06%)</t>
  </si>
  <si>
    <t>1369.7 (84.10%)</t>
  </si>
  <si>
    <t>569.64 Cr</t>
  </si>
  <si>
    <t>765 (25.41%)</t>
  </si>
  <si>
    <t>1305.8 (114.07%)</t>
  </si>
  <si>
    <t>1,894.26 Cr</t>
  </si>
  <si>
    <t>521 (-1.88%)</t>
  </si>
  <si>
    <t>784.55 (47.75%)</t>
  </si>
  <si>
    <t>2,780 Cr</t>
  </si>
  <si>
    <t>341 (-3.40%)</t>
  </si>
  <si>
    <t>320.1 (-9.32%)</t>
  </si>
  <si>
    <t>3,850 Cr</t>
  </si>
  <si>
    <t>526 (-2.77%)</t>
  </si>
  <si>
    <t>527.1 (-2.57%)</t>
  </si>
  <si>
    <t>5000 Cr</t>
  </si>
  <si>
    <t>558 (-2.11%)</t>
  </si>
  <si>
    <t>345.3 (-39.42%)</t>
  </si>
  <si>
    <t>2,998 Cr</t>
  </si>
  <si>
    <t>1758 (8.65%)</t>
  </si>
  <si>
    <t>886.3 (-45.22%)</t>
  </si>
  <si>
    <t>1,838 Cr</t>
  </si>
  <si>
    <t>149 (65.56%)</t>
  </si>
  <si>
    <t>181.11 (101.23%)</t>
  </si>
  <si>
    <t>1,213.33 Cr</t>
  </si>
  <si>
    <t>1176 (23.27%)</t>
  </si>
  <si>
    <t>681.05 (-28.61%)</t>
  </si>
  <si>
    <t>401.54 Cr</t>
  </si>
  <si>
    <t>540 (17.39%)</t>
  </si>
  <si>
    <t>718.15 (56.12%)</t>
  </si>
  <si>
    <t>161.09 Cr</t>
  </si>
  <si>
    <t>125 (4.17%)</t>
  </si>
  <si>
    <t>91.26 (-23.95%)</t>
  </si>
  <si>
    <t>731 Cr</t>
  </si>
  <si>
    <t>1355 (50.56%)</t>
  </si>
  <si>
    <t>2386.45 (165.16%)</t>
  </si>
  <si>
    <t>1513.60 Cr</t>
  </si>
  <si>
    <t>802 (11.39%)</t>
  </si>
  <si>
    <t>853.8 (18.58%)</t>
  </si>
  <si>
    <t>500 Cr</t>
  </si>
  <si>
    <t>2193 (102.49%)</t>
  </si>
  <si>
    <t>1070.4 (-1.16%)</t>
  </si>
  <si>
    <t>9,375 Cr</t>
  </si>
  <si>
    <t>98 (28.95%)</t>
  </si>
  <si>
    <t>223.49 (194.07%)</t>
  </si>
  <si>
    <t>962 Cr</t>
  </si>
  <si>
    <t>1412 (68.70%)</t>
  </si>
  <si>
    <t>1696.8 (102.72%)</t>
  </si>
  <si>
    <t>1,546.622 Cr</t>
  </si>
  <si>
    <t>1515 (68.33%)</t>
  </si>
  <si>
    <t>1476.3 (64.03%)</t>
  </si>
  <si>
    <t>331 (11.82%)</t>
  </si>
  <si>
    <t>208.67 (-29.50%)</t>
  </si>
  <si>
    <t>2,143.74 Cr</t>
  </si>
  <si>
    <t>900 (9.09%)</t>
  </si>
  <si>
    <t>2121.5 (157.15%)</t>
  </si>
  <si>
    <t>520.18 Cr</t>
  </si>
  <si>
    <t>508 (18.69%)</t>
  </si>
  <si>
    <t>1239.6 (189.63%)</t>
  </si>
  <si>
    <t>909 cr</t>
  </si>
  <si>
    <t>436 (42.48%)</t>
  </si>
  <si>
    <t>5,550 Cr</t>
  </si>
  <si>
    <t>294 (1.03%)</t>
  </si>
  <si>
    <t>687.45 (136.24%)</t>
  </si>
  <si>
    <t>1175 Cr</t>
  </si>
  <si>
    <t>82 (-5.75%)</t>
  </si>
  <si>
    <t>587.25 (575.00%)</t>
  </si>
  <si>
    <t>582.34 Cr</t>
  </si>
  <si>
    <t>295 (-3.28%)</t>
  </si>
  <si>
    <t>181.69 (-40.43%)</t>
  </si>
  <si>
    <t>582.91 Cr</t>
  </si>
  <si>
    <t>1841 (67.21%)</t>
  </si>
  <si>
    <t>913.75 (-17.01%)</t>
  </si>
  <si>
    <t>170 (30.77%)</t>
  </si>
  <si>
    <t>262.7 (102.08%)</t>
  </si>
  <si>
    <t>823.70 Cr</t>
  </si>
  <si>
    <t>1520 (2.01%)</t>
  </si>
  <si>
    <t>5313.25 (256.59%)</t>
  </si>
  <si>
    <t>760 Cr</t>
  </si>
  <si>
    <t>615 (10.81%)</t>
  </si>
  <si>
    <t>793.65 (43.00%)</t>
  </si>
  <si>
    <t>510 Cr</t>
  </si>
  <si>
    <t>317 (69.52%)</t>
  </si>
  <si>
    <t>596.41 Cr</t>
  </si>
  <si>
    <t>1155 (100.87%)</t>
  </si>
  <si>
    <t>1876.75 (226.39%)</t>
  </si>
  <si>
    <t>897 (43.06%)</t>
  </si>
  <si>
    <t>470 (17.50%)</t>
  </si>
  <si>
    <t xml:space="preserve"> 819.24 Cr</t>
  </si>
  <si>
    <t>104 (10.64%)</t>
  </si>
  <si>
    <t xml:space="preserve"> 412.63 Cr</t>
  </si>
  <si>
    <t>420 (9.09%)</t>
  </si>
  <si>
    <t>622.7 (61.74%)</t>
  </si>
  <si>
    <t>1153.72 Cr</t>
  </si>
  <si>
    <t>638 (23.17%)</t>
  </si>
  <si>
    <t>1041.6 (101.08%)</t>
  </si>
  <si>
    <t xml:space="preserve"> 1176 Cr</t>
  </si>
  <si>
    <t>2240 (50.34%)</t>
  </si>
  <si>
    <t>1511.2 (1.42%)</t>
  </si>
  <si>
    <t>4,633.38 Cr</t>
  </si>
  <si>
    <t>26 (1.00%)</t>
  </si>
  <si>
    <t>192.27 (639.50%)</t>
  </si>
  <si>
    <t>299.99 Cr</t>
  </si>
  <si>
    <t>490 (55.56%)</t>
  </si>
  <si>
    <t>789.35 (150.59%)</t>
  </si>
  <si>
    <t>475.00Cr</t>
  </si>
  <si>
    <t>251 (1.62%)</t>
  </si>
  <si>
    <t>197.15 (-20.18%)</t>
  </si>
  <si>
    <t>1500.00Cr</t>
  </si>
  <si>
    <t>363 (-0.82%)</t>
  </si>
  <si>
    <t>739.3 (101.99%)</t>
  </si>
  <si>
    <t>552.00Cr</t>
  </si>
  <si>
    <t>491 (-2.96%)</t>
  </si>
  <si>
    <t>640.3 (26.54%)</t>
  </si>
  <si>
    <t>345.60Cr</t>
  </si>
  <si>
    <t>273 (1.11%)</t>
  </si>
  <si>
    <t>531.2 (96.74%)</t>
  </si>
  <si>
    <t>960.35Cr</t>
  </si>
  <si>
    <t>342 (-4.20%)</t>
  </si>
  <si>
    <t>493.85 (38.33%)</t>
  </si>
  <si>
    <t>835.61Cr</t>
  </si>
  <si>
    <t>618 (7.11%)</t>
  </si>
  <si>
    <t>497.3 (-13.81%)</t>
  </si>
  <si>
    <t>251.15 Cr</t>
  </si>
  <si>
    <t>275 (16.03%)</t>
  </si>
  <si>
    <t>313.68 (32.35%)</t>
  </si>
  <si>
    <t>635.00Cr</t>
  </si>
  <si>
    <t>536 (-0.92%)</t>
  </si>
  <si>
    <t>711.45 (31.51%)</t>
  </si>
  <si>
    <t>740.00Cr</t>
  </si>
  <si>
    <t>64 (-1.54%)</t>
  </si>
  <si>
    <t>165.99 (155.37%)</t>
  </si>
  <si>
    <t>857.82Cr</t>
  </si>
  <si>
    <t>772 (37.48%)</t>
  </si>
  <si>
    <t>4101.15 (598.66%)</t>
  </si>
  <si>
    <t>1462.31 Cr</t>
  </si>
  <si>
    <t>534 (31.20%)</t>
  </si>
  <si>
    <t>741.55 (82.20%)</t>
  </si>
  <si>
    <t>1593.45Cr</t>
  </si>
  <si>
    <t>472 (-0.42%)</t>
  </si>
  <si>
    <t>744.2 (57.00%)</t>
  </si>
  <si>
    <t>2205.57 Cr</t>
  </si>
  <si>
    <t>366 (8.93%)</t>
  </si>
  <si>
    <t>1203.95 (258.32%)</t>
  </si>
  <si>
    <t>881 Cr</t>
  </si>
  <si>
    <t>321 (7.00%)</t>
  </si>
  <si>
    <t>723.85 (141.28%)</t>
  </si>
  <si>
    <t>1103.99 Cr</t>
  </si>
  <si>
    <t>364 (-1.09%)</t>
  </si>
  <si>
    <t>433.6 (17.83%)</t>
  </si>
  <si>
    <t>282 (36.23%)</t>
  </si>
  <si>
    <t>387.15 (87.03%)</t>
  </si>
  <si>
    <t>309.38 Cr</t>
  </si>
  <si>
    <t>79 (-1.25%)</t>
  </si>
  <si>
    <t>93.3 (16.62%)</t>
  </si>
  <si>
    <t>89 (52.54%)</t>
  </si>
  <si>
    <t>218.52 (270.37%)</t>
  </si>
  <si>
    <t>755 Cr</t>
  </si>
  <si>
    <t>455 (37.88%)</t>
  </si>
  <si>
    <t>536.2 (62.48%)</t>
  </si>
  <si>
    <t>831.60 Cr</t>
  </si>
  <si>
    <t>539 (2.67%)</t>
  </si>
  <si>
    <t>459.7 (-12.44%)</t>
  </si>
  <si>
    <t>562.10 Cr</t>
  </si>
  <si>
    <t>474 (45.40%)</t>
  </si>
  <si>
    <t>474.65 (45.60%)</t>
  </si>
  <si>
    <t>840.13 Cr</t>
  </si>
  <si>
    <t>268 (21.82%)</t>
  </si>
  <si>
    <t>473 (115.00%)</t>
  </si>
  <si>
    <t>808 Cr</t>
  </si>
  <si>
    <t>697 (8.57%)</t>
  </si>
  <si>
    <t>919 (43.15%)</t>
  </si>
  <si>
    <t>412.79 Cr</t>
  </si>
  <si>
    <t>256 (1.00%)</t>
  </si>
  <si>
    <t>888.3 (246.99%)</t>
  </si>
  <si>
    <t xml:space="preserve"> 472.28 Cr</t>
  </si>
  <si>
    <t>873 (-0.57%)</t>
  </si>
  <si>
    <t>3266.5 (272.04%)</t>
  </si>
  <si>
    <t>1,501.73 Cr</t>
  </si>
  <si>
    <t>42 (1.00%)</t>
  </si>
  <si>
    <t>85.24 (102.95%)</t>
  </si>
  <si>
    <t>5235 Cr</t>
  </si>
  <si>
    <t>477 (-2.05%)</t>
  </si>
  <si>
    <t>382.7 (-21.42%)</t>
  </si>
  <si>
    <t>165.42 Cr</t>
  </si>
  <si>
    <t>346 (6.13%)</t>
  </si>
  <si>
    <t>2198.8 (574.48%)</t>
  </si>
  <si>
    <t>538 Cr</t>
  </si>
  <si>
    <t>648 (2.86%)</t>
  </si>
  <si>
    <t>2144.95 (240.47%)</t>
  </si>
  <si>
    <t>20,557 Cr</t>
  </si>
  <si>
    <t>923 (-2.74%)</t>
  </si>
  <si>
    <t>1160.55 (22.29%)</t>
  </si>
  <si>
    <t>1580 Cr</t>
  </si>
  <si>
    <t>532 (-1.85%)</t>
  </si>
  <si>
    <t>1105.1 (103.89%)</t>
  </si>
  <si>
    <t>1400.14 Cr</t>
  </si>
  <si>
    <t>332 (13.70%)</t>
  </si>
  <si>
    <t>303.75 (4.02%)</t>
  </si>
  <si>
    <t>200 Cr</t>
  </si>
  <si>
    <t>152 (10.95%)</t>
  </si>
  <si>
    <t>286.02 (108.77%)</t>
  </si>
  <si>
    <t>130.05 Cr</t>
  </si>
  <si>
    <t>178 (16.34%)</t>
  </si>
  <si>
    <t>688 (349.67%)</t>
  </si>
  <si>
    <t>60 Cr</t>
  </si>
  <si>
    <t>68 (10.70%)</t>
  </si>
  <si>
    <t>84.4 (24.12%)</t>
  </si>
  <si>
    <t>3149.19 Cr</t>
  </si>
  <si>
    <t>854 (-1.39%)</t>
  </si>
  <si>
    <t>1079.95 (24.71%)</t>
  </si>
  <si>
    <t>3,600 Cr</t>
  </si>
  <si>
    <t>253 (10.00%)</t>
  </si>
  <si>
    <t>325.2 (41.39%)</t>
  </si>
  <si>
    <t>680 Cr</t>
  </si>
  <si>
    <t>169 (-3.43%)</t>
  </si>
  <si>
    <t>90.6 (-48.23%)</t>
  </si>
  <si>
    <t>570.00 Cr</t>
  </si>
  <si>
    <t>480 (7.14%)</t>
  </si>
  <si>
    <t>619.4 (38.26%)</t>
  </si>
  <si>
    <t>740.00 Cr</t>
  </si>
  <si>
    <t>719 (37.21%)</t>
  </si>
  <si>
    <t>1601.4 (205.61%)</t>
  </si>
  <si>
    <t>1008.59 Cr</t>
  </si>
  <si>
    <t>1085 (27.65%)</t>
  </si>
  <si>
    <t>1225.85 (44.22%)</t>
  </si>
  <si>
    <t>100.00 Cr</t>
  </si>
  <si>
    <t>100 (0.00%)</t>
  </si>
  <si>
    <t>140.12 (40.12%)</t>
  </si>
  <si>
    <t>549.78 Cr</t>
  </si>
  <si>
    <t>360 (28.57%)</t>
  </si>
  <si>
    <t>160.13 (-42.81%)</t>
  </si>
  <si>
    <t>400.00 Cr</t>
  </si>
  <si>
    <t>375 (4.17%)</t>
  </si>
  <si>
    <t>599.4 (66.50%)</t>
  </si>
  <si>
    <t>960.00 Cr</t>
  </si>
  <si>
    <t>318 (9.28%)</t>
  </si>
  <si>
    <t>240.65 (-17.30%)</t>
  </si>
  <si>
    <t>151.09 Cr</t>
  </si>
  <si>
    <t>125 (127.27%)</t>
  </si>
  <si>
    <t>162.82 (196.04%)</t>
  </si>
  <si>
    <t>1459.32 Cr</t>
  </si>
  <si>
    <t>1100 (66.67%)</t>
  </si>
  <si>
    <t>1309.05 (98.34%)</t>
  </si>
  <si>
    <t>1200.00 Cr</t>
  </si>
  <si>
    <t>1300 (64.56%)</t>
  </si>
  <si>
    <t>2494 (215.70%)</t>
  </si>
  <si>
    <t>650 (31.85%)</t>
  </si>
  <si>
    <t>733.95 (48.87%)</t>
  </si>
  <si>
    <t>593.00 Cr</t>
  </si>
  <si>
    <t>454 (49.34%)</t>
  </si>
  <si>
    <t>310.75 (2.22%)</t>
  </si>
  <si>
    <t>1092.26 Cr</t>
  </si>
  <si>
    <t>140 (0.00%)</t>
  </si>
  <si>
    <t>123.04 (-12.11%)</t>
  </si>
  <si>
    <t>3042.51 Cr</t>
  </si>
  <si>
    <t>975 (95.00%)</t>
  </si>
  <si>
    <t>997.25 (99.45%)</t>
  </si>
  <si>
    <t>500.69 Cr</t>
  </si>
  <si>
    <t>242 (43.20%)</t>
  </si>
  <si>
    <t>207.48 (22.77%)</t>
  </si>
  <si>
    <t>2150.21 Cr</t>
  </si>
  <si>
    <t>44 (37.50%)</t>
  </si>
  <si>
    <t>269.26 (741.44%)</t>
  </si>
  <si>
    <t>834.00 Cr</t>
  </si>
  <si>
    <t>310 (9.93%)</t>
  </si>
  <si>
    <t>393.75 (39.63%)</t>
  </si>
  <si>
    <t>490.33 Cr</t>
  </si>
  <si>
    <t>840 (6.06%)</t>
  </si>
  <si>
    <t>1768.15 (123.25%)</t>
  </si>
  <si>
    <t>463.00 Cr</t>
  </si>
  <si>
    <t>76 (26.67%)</t>
  </si>
  <si>
    <t>51.07 (-14.88%)</t>
  </si>
  <si>
    <t>1701.44 Cr</t>
  </si>
  <si>
    <t>348 (7.41%)</t>
  </si>
  <si>
    <t>465.1 (43.55%)</t>
  </si>
  <si>
    <t>1900.00 Cr</t>
  </si>
  <si>
    <t>808 (24.69%)</t>
  </si>
  <si>
    <t>959.55 (48.08%)</t>
  </si>
  <si>
    <t>840.27 Cr</t>
  </si>
  <si>
    <t>368 (6.36%)</t>
  </si>
  <si>
    <t>440.4 (27.28%)</t>
  </si>
  <si>
    <t>545.40 Cr</t>
  </si>
  <si>
    <t>523 (3.56%)</t>
  </si>
  <si>
    <t>451 (-10.69%)</t>
  </si>
  <si>
    <t>71.28 Cr</t>
  </si>
  <si>
    <t>77 (42.59%)</t>
  </si>
  <si>
    <t>84.97 (57.35%)</t>
  </si>
  <si>
    <t>152.46 Cr</t>
  </si>
  <si>
    <t>160 (14.29%)</t>
  </si>
  <si>
    <t>136.15 (-2.75%)</t>
  </si>
  <si>
    <t>640.00 Cr</t>
  </si>
  <si>
    <t>300 (0.00%)</t>
  </si>
  <si>
    <t>313.9 (4.63%)</t>
  </si>
  <si>
    <t>2800.00 Cr</t>
  </si>
  <si>
    <t>149 (25.21%)</t>
  </si>
  <si>
    <t>338.8 (184.71%)</t>
  </si>
  <si>
    <t>270.20 Cr</t>
  </si>
  <si>
    <t>215 (0.00%)</t>
  </si>
  <si>
    <t>254.88 (18.55%)</t>
  </si>
  <si>
    <t>775.00 Cr</t>
  </si>
  <si>
    <t>142 (0.00%)</t>
  </si>
  <si>
    <t>127.87 (-9.95%)</t>
  </si>
  <si>
    <t>1201.00 Cr</t>
  </si>
  <si>
    <t>229 (3.15%)</t>
  </si>
  <si>
    <t>169.72 (-23.55%)</t>
  </si>
  <si>
    <t>730.00 Cr</t>
  </si>
  <si>
    <t>435 (12.99%)</t>
  </si>
  <si>
    <t>1483.65 (285.36%)</t>
  </si>
  <si>
    <t>1370.10 Cr</t>
  </si>
  <si>
    <t>134 (6.35%)</t>
  </si>
  <si>
    <t>179.48 (42.44%)</t>
  </si>
  <si>
    <t>563.38 Cr</t>
  </si>
  <si>
    <t>175 (6.71%)</t>
  </si>
  <si>
    <t>313.55 (91.19%)</t>
  </si>
  <si>
    <t>321.24 Cr</t>
  </si>
  <si>
    <t>299 (41.71%)</t>
  </si>
  <si>
    <t>789.85 (274.34%)</t>
  </si>
  <si>
    <t>1964.01 Cr</t>
  </si>
  <si>
    <t>1139 (10.05%)</t>
  </si>
  <si>
    <t>1744 (68.50%)</t>
  </si>
  <si>
    <t>869.08 Cr</t>
  </si>
  <si>
    <t>968 (31.70%)</t>
  </si>
  <si>
    <t>1289.95 (75.50%)</t>
  </si>
  <si>
    <t>165.03 Cr</t>
  </si>
  <si>
    <t>150 (53.06%)</t>
  </si>
  <si>
    <t>195.17 (99.15%)</t>
  </si>
  <si>
    <t>490.78 Cr</t>
  </si>
  <si>
    <t>502 (13.83%)</t>
  </si>
  <si>
    <t>441.9 (0.20%)</t>
  </si>
  <si>
    <t>308.88 Cr</t>
  </si>
  <si>
    <t>161 (62.63%)</t>
  </si>
  <si>
    <t>223.27 (125.53%)</t>
  </si>
  <si>
    <t>351.00 Cr</t>
  </si>
  <si>
    <t>179 (65.74%)</t>
  </si>
  <si>
    <t>156.04 (44.48%)</t>
  </si>
  <si>
    <t>153.05 Cr</t>
  </si>
  <si>
    <t>188 (13.25%)</t>
  </si>
  <si>
    <t>179.42 (8.08%)</t>
  </si>
  <si>
    <t>880.00 Cr</t>
  </si>
  <si>
    <t>200 (1.52%)</t>
  </si>
  <si>
    <t>187.87 (-4.63%)</t>
  </si>
  <si>
    <t>1551.00 Cr</t>
  </si>
  <si>
    <t>863 (16.46%)</t>
  </si>
  <si>
    <t>1720.95 (132.25%)</t>
  </si>
  <si>
    <t>1025.00 Cr</t>
  </si>
  <si>
    <t>83 (45.61%)</t>
  </si>
  <si>
    <t>81.82 (43.54%)</t>
  </si>
  <si>
    <t>686.55 Cr</t>
  </si>
  <si>
    <t>375 (25.00%)</t>
  </si>
  <si>
    <t>440.3 (46.77%)</t>
  </si>
  <si>
    <t>631.00 Cr</t>
  </si>
  <si>
    <t>894 (78.80%)</t>
  </si>
  <si>
    <t>2418.25 (383.65%)</t>
  </si>
  <si>
    <t>500.00 Cr</t>
  </si>
  <si>
    <t>41 (64.00%)</t>
  </si>
  <si>
    <t>50.12 (100.48%)</t>
  </si>
  <si>
    <t>405.00 Cr</t>
  </si>
  <si>
    <t>420 (32.49%)</t>
  </si>
  <si>
    <t>975.85 (207.84%)</t>
  </si>
  <si>
    <t>592.00 Cr</t>
  </si>
  <si>
    <t>400 (50.94%)</t>
  </si>
  <si>
    <t>776.15 (192.89%)</t>
  </si>
  <si>
    <t>567.29 Cr</t>
  </si>
  <si>
    <t>1197 (78.12%)</t>
  </si>
  <si>
    <t>801.85 (19.32%)</t>
  </si>
  <si>
    <t>480.00 Cr</t>
  </si>
  <si>
    <t>625 (6.84%)</t>
  </si>
  <si>
    <t>52.66 (-91.00%)</t>
  </si>
  <si>
    <t>606.50 Cr</t>
  </si>
  <si>
    <t>375 (31.58%)</t>
  </si>
  <si>
    <t>303.95 (6.65%)</t>
  </si>
  <si>
    <t>4326.36 Cr</t>
  </si>
  <si>
    <t>1201 (11.20%)</t>
  </si>
  <si>
    <t>2104.4 (94.85%)</t>
  </si>
  <si>
    <t>865.00 Cr</t>
  </si>
  <si>
    <t>443 (1.61%)</t>
  </si>
  <si>
    <t>526.45 (20.75%)</t>
  </si>
  <si>
    <t>66.00 Cr</t>
  </si>
  <si>
    <t>45 (28.57%)</t>
  </si>
  <si>
    <t>72.77 (107.91%)</t>
  </si>
  <si>
    <t>154.98 Cr</t>
  </si>
  <si>
    <t>158 (12.86%)</t>
  </si>
  <si>
    <t>220.33 (57.38%)</t>
  </si>
  <si>
    <t>412.12 Cr</t>
  </si>
  <si>
    <t>619 (4.92%)</t>
  </si>
  <si>
    <t>684.35 (15.99%)</t>
  </si>
  <si>
    <t>66.30Cr</t>
  </si>
  <si>
    <t>75 (15.38%)</t>
  </si>
  <si>
    <t>85.61 (31.71%)</t>
  </si>
  <si>
    <t>256.64Cr</t>
  </si>
  <si>
    <t>105 (6.06%)</t>
  </si>
  <si>
    <t>83.33 (-15.83%)</t>
  </si>
  <si>
    <t>745.00 Cr</t>
  </si>
  <si>
    <t>326 (27.34%)</t>
  </si>
  <si>
    <t>346.55 (35.37%)</t>
  </si>
  <si>
    <t>1952.03 Cr</t>
  </si>
  <si>
    <t>1308 (29.76%)</t>
  </si>
  <si>
    <t>1308.5 (29.81%)</t>
  </si>
  <si>
    <t>171.00 Cr</t>
  </si>
  <si>
    <t>257 (24.15%)</t>
  </si>
  <si>
    <t>236.11 (14.06%)</t>
  </si>
  <si>
    <t>1500.00 Cr</t>
  </si>
  <si>
    <t>340 (21.00%)</t>
  </si>
  <si>
    <t>309.85 (10.27%)</t>
  </si>
  <si>
    <t>537.02 Cr</t>
  </si>
  <si>
    <t>542 (46.88%)</t>
  </si>
  <si>
    <t>595.85 (61.48%)</t>
  </si>
  <si>
    <t>418.01 Cr</t>
  </si>
  <si>
    <t>293 (44.33%)</t>
  </si>
  <si>
    <t>367.65 (81.11%)</t>
  </si>
  <si>
    <t>132.00 Cr</t>
  </si>
  <si>
    <t>136 (13.33%)</t>
  </si>
  <si>
    <t>119.16 (-0.70%)</t>
  </si>
  <si>
    <t>740.10 Cr</t>
  </si>
  <si>
    <t>123.5 (32.80%)</t>
  </si>
  <si>
    <t>171.96 (84.90%)</t>
  </si>
  <si>
    <t>130.15 Cr</t>
  </si>
  <si>
    <t>164 (20.59%)</t>
  </si>
  <si>
    <t>152.98 (12.49%)</t>
  </si>
  <si>
    <t>598.93 Cr</t>
  </si>
  <si>
    <t>467 (21.93%)</t>
  </si>
  <si>
    <t>645.9 (68.64%)</t>
  </si>
  <si>
    <t>2614.65 Cr</t>
  </si>
  <si>
    <t>276 (1.47%)</t>
  </si>
  <si>
    <t>345.65 (27.08%)</t>
  </si>
  <si>
    <t>1550.81 Cr</t>
  </si>
  <si>
    <t>1220 (32.61%)</t>
  </si>
  <si>
    <t>1743.25 (89.48%)</t>
  </si>
  <si>
    <t>3000.00 Cr</t>
  </si>
  <si>
    <t>358 (13.65%)</t>
  </si>
  <si>
    <t>461.85 (46.62%)</t>
  </si>
  <si>
    <t>1841.76 Cr</t>
  </si>
  <si>
    <t>727 (60.84%)</t>
  </si>
  <si>
    <t>579.7 (28.25%)</t>
  </si>
  <si>
    <t>649.47 Cr</t>
  </si>
  <si>
    <t>550 (32.53%)</t>
  </si>
  <si>
    <t>756.7 (82.34%)</t>
  </si>
  <si>
    <t>4275.00 Cr</t>
  </si>
  <si>
    <t>710 (24.56%)</t>
  </si>
  <si>
    <t>1156.25 (102.85%)</t>
  </si>
  <si>
    <t>130.20 Cr</t>
  </si>
  <si>
    <t>280 (33.33%)</t>
  </si>
  <si>
    <t>254.61 (21.24%)</t>
  </si>
  <si>
    <t>300.13 Cr</t>
  </si>
  <si>
    <t>775 (8.39%)</t>
  </si>
  <si>
    <t>733.4 (2.57%)</t>
  </si>
  <si>
    <t>601.55 Cr</t>
  </si>
  <si>
    <t>295 (0.00%)</t>
  </si>
  <si>
    <t>243.67 (-17.40%)</t>
  </si>
  <si>
    <t>650.00 Cr</t>
  </si>
  <si>
    <t>376 (-6.23%)</t>
  </si>
  <si>
    <t>329.8 (-17.76%)</t>
  </si>
  <si>
    <t>251.19 Cr</t>
  </si>
  <si>
    <t>226 (2.26%)</t>
  </si>
  <si>
    <t>252.55 (14.28%)</t>
  </si>
  <si>
    <t>423.56 Cr</t>
  </si>
  <si>
    <t>288 (0.00%)</t>
  </si>
  <si>
    <t>288.95 (0.33%)</t>
  </si>
  <si>
    <t>2500.00 Cr</t>
  </si>
  <si>
    <t>102 (2.00%)</t>
  </si>
  <si>
    <t>106.68 (6.68%)</t>
  </si>
  <si>
    <t>224.00 Cr</t>
  </si>
  <si>
    <t>63 (125.00%)</t>
  </si>
  <si>
    <t>53.94 (92.64%)</t>
  </si>
  <si>
    <t>235.32 Cr</t>
  </si>
  <si>
    <t>258 (50.88%)</t>
  </si>
  <si>
    <t>268 (56.73%)</t>
  </si>
  <si>
    <t>429.00 Cr</t>
  </si>
  <si>
    <t>302 (112.68%)</t>
  </si>
  <si>
    <t>443.6 (212.39%)</t>
  </si>
  <si>
    <t>525.14 Cr</t>
  </si>
  <si>
    <t>203 (9.14%)</t>
  </si>
  <si>
    <t>167.99 (-9.68%)</t>
  </si>
  <si>
    <t>1800.00 Cr</t>
  </si>
  <si>
    <t>360 (0.00%)</t>
  </si>
  <si>
    <t>425.3 (18.14%)</t>
  </si>
  <si>
    <t>72.17 Cr</t>
  </si>
  <si>
    <t>291 (92.72%)</t>
  </si>
  <si>
    <t>258.55 (71.23%)</t>
  </si>
  <si>
    <t>1600.00 Cr</t>
  </si>
  <si>
    <t>1260 (0.16%)</t>
  </si>
  <si>
    <t>1152.05 (-8.42%)</t>
  </si>
  <si>
    <t>600.00 Cr</t>
  </si>
  <si>
    <t>345 (10.93%)</t>
  </si>
  <si>
    <t>416.95 (34.07%)</t>
  </si>
  <si>
    <t>523.07 Cr</t>
  </si>
  <si>
    <t>468 (0.00%)</t>
  </si>
  <si>
    <t>345.5 (-26.18%)</t>
  </si>
  <si>
    <t>430 (3.86%)</t>
  </si>
  <si>
    <t>656.55 (58.59%)</t>
  </si>
  <si>
    <t>920.00 Cr</t>
  </si>
  <si>
    <t>193 (24.52%)</t>
  </si>
  <si>
    <t>187.95 (21.26%)</t>
  </si>
  <si>
    <t>310.91 Cr</t>
  </si>
  <si>
    <t>290 (114.81%)</t>
  </si>
  <si>
    <t>229.45 (69.96%)</t>
  </si>
  <si>
    <t>143.81 Cr</t>
  </si>
  <si>
    <t>54 (31.71%)</t>
  </si>
  <si>
    <t>83.91 (104.66%)</t>
  </si>
  <si>
    <t>640.05 Cr</t>
  </si>
  <si>
    <t>235 (2.17%)</t>
  </si>
  <si>
    <t>273.09 (18.73%)</t>
  </si>
  <si>
    <t>1171.58 Cr</t>
  </si>
  <si>
    <t>452 (8.13%)</t>
  </si>
  <si>
    <t>572.5 (36.96%)</t>
  </si>
  <si>
    <t>1000.00 Cr</t>
  </si>
  <si>
    <t>369 (11.48%)</t>
  </si>
  <si>
    <t>1136.7 (243.41%)</t>
  </si>
  <si>
    <t>L@358 (0.28%</t>
  </si>
  <si>
    <t>L@720 (37.40%</t>
  </si>
  <si>
    <t>L@1000 (17.65%</t>
  </si>
  <si>
    <t>L@100 (0.00%</t>
  </si>
  <si>
    <t>L@340 (-5.56%</t>
  </si>
  <si>
    <t>L@1400 (77.22%</t>
  </si>
  <si>
    <t>L@620 (25.76%</t>
  </si>
  <si>
    <t>L@501 (64.80%</t>
  </si>
  <si>
    <t>L@792 (0.00%</t>
  </si>
  <si>
    <t>L@380 (9.83%</t>
  </si>
  <si>
    <t>L@76 (40.74%</t>
  </si>
  <si>
    <t>L@285 (-5.00%</t>
  </si>
  <si>
    <t>L@143 (20.17%</t>
  </si>
  <si>
    <t>L@215 (0.00%</t>
  </si>
  <si>
    <t>L@164 (0.00%</t>
  </si>
  <si>
    <t>L@1180 (14.01%</t>
  </si>
  <si>
    <t>L@165 (66.67%</t>
  </si>
  <si>
    <t>L@82 (43.86%</t>
  </si>
  <si>
    <t>L@403 (52.08%</t>
  </si>
  <si>
    <t>L@625 (6.84%</t>
  </si>
  <si>
    <t>L@620 (5.08%</t>
  </si>
  <si>
    <t>L@104 (5.05%</t>
  </si>
  <si>
    <t>L@209 (-5.43%</t>
  </si>
  <si>
    <t>L@250 (-13.19%</t>
  </si>
  <si>
    <t>L@40 (42.86%</t>
  </si>
  <si>
    <t>L@225 (31.58%</t>
  </si>
  <si>
    <t>L@265 (86.62%</t>
  </si>
  <si>
    <t>L@365 (1.39%</t>
  </si>
  <si>
    <t>L@425 (181.46%</t>
  </si>
  <si>
    <t>L@396 (-4.35%</t>
  </si>
  <si>
    <t>L@186 (20.00%</t>
  </si>
  <si>
    <t>L@55 (34.15%</t>
  </si>
  <si>
    <t>L@221 (-3.91%</t>
  </si>
  <si>
    <t>L@460 (10.05%</t>
  </si>
  <si>
    <t>L@370 (11.78%</t>
  </si>
  <si>
    <t>IPO Listing Price</t>
  </si>
  <si>
    <t>IPO Issue Price</t>
  </si>
  <si>
    <t>Listing Price Percentage</t>
  </si>
  <si>
    <t xml:space="preserve">358 </t>
  </si>
  <si>
    <t xml:space="preserve">720 </t>
  </si>
  <si>
    <t xml:space="preserve">1000 </t>
  </si>
  <si>
    <t xml:space="preserve">100 </t>
  </si>
  <si>
    <t xml:space="preserve">340 </t>
  </si>
  <si>
    <t xml:space="preserve">1400 </t>
  </si>
  <si>
    <t xml:space="preserve">620 </t>
  </si>
  <si>
    <t xml:space="preserve">501 </t>
  </si>
  <si>
    <t xml:space="preserve">792 </t>
  </si>
  <si>
    <t xml:space="preserve">380 </t>
  </si>
  <si>
    <t xml:space="preserve">76 </t>
  </si>
  <si>
    <t xml:space="preserve">285 </t>
  </si>
  <si>
    <t xml:space="preserve">143 </t>
  </si>
  <si>
    <t xml:space="preserve">215 </t>
  </si>
  <si>
    <t xml:space="preserve">164 </t>
  </si>
  <si>
    <t xml:space="preserve">1180 </t>
  </si>
  <si>
    <t xml:space="preserve">165 </t>
  </si>
  <si>
    <t xml:space="preserve">82 </t>
  </si>
  <si>
    <t xml:space="preserve">403 </t>
  </si>
  <si>
    <t xml:space="preserve">625 </t>
  </si>
  <si>
    <t xml:space="preserve">104 </t>
  </si>
  <si>
    <t xml:space="preserve">209 </t>
  </si>
  <si>
    <t xml:space="preserve">250 </t>
  </si>
  <si>
    <t xml:space="preserve">40 </t>
  </si>
  <si>
    <t xml:space="preserve">225 </t>
  </si>
  <si>
    <t xml:space="preserve">265 </t>
  </si>
  <si>
    <t xml:space="preserve">365 </t>
  </si>
  <si>
    <t xml:space="preserve">425 </t>
  </si>
  <si>
    <t xml:space="preserve">396 </t>
  </si>
  <si>
    <t xml:space="preserve">186 </t>
  </si>
  <si>
    <t xml:space="preserve">55 </t>
  </si>
  <si>
    <t xml:space="preserve">221 </t>
  </si>
  <si>
    <t xml:space="preserve">460 </t>
  </si>
  <si>
    <t xml:space="preserve">370 </t>
  </si>
  <si>
    <t>GMP_Flag</t>
  </si>
  <si>
    <t>List Price More Issue Price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</si>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</sst>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hom Ghosh" id="{A678D09D-98EC-490D-AAB2-ABA69D4CB88A}" userId="f9393162a8012fb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7-25T04:09:14.94" personId="{A678D09D-98EC-490D-AAB2-ABA69D4CB88A}" id="{9E0141AE-0544-46BE-9C52-1B178A0C829D}">
    <text>GMP flag is 1 if GMP value is positive, GMP flag is 0 if GMP value is 0, GMP flag is -1 if GMP value is negative</text>
  </threadedComment>
  <threadedComment ref="M1" dT="2024-07-25T04:14:32.02" personId="{A678D09D-98EC-490D-AAB2-ABA69D4CB88A}" id="{73F45BBC-2C28-4CEA-8C9B-9C077239844F}">
    <text>1,0,-1 if IPO listing price was more, equal, less than IPO issue price respectively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9"/>
  <sheetViews>
    <sheetView tabSelected="1" workbookViewId="0">
      <pane ySplit="1" topLeftCell="A2" activePane="bottomLeft" state="frozen"/>
      <selection pane="bottomLeft" activeCell="M124" sqref="M124"/>
    </sheetView>
  </sheetViews>
  <sheetFormatPr defaultRowHeight="14.4" x14ac:dyDescent="0.3"/>
  <cols>
    <col min="8" max="8" width="25.109375" customWidth="1"/>
    <col min="10" max="10" width="21.21875" customWidth="1"/>
    <col min="11" max="11" width="14.5546875" customWidth="1"/>
    <col min="12" max="12" width="13.88671875" bestFit="1" customWidth="1"/>
    <col min="13" max="13" width="27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1232</v>
      </c>
      <c r="G1" s="1" t="s">
        <v>5</v>
      </c>
      <c r="H1" s="1" t="s">
        <v>1233</v>
      </c>
      <c r="I1" s="1" t="s">
        <v>6</v>
      </c>
      <c r="J1" s="1" t="s">
        <v>7</v>
      </c>
      <c r="K1" s="3" t="s">
        <v>1231</v>
      </c>
      <c r="L1" s="3" t="s">
        <v>1268</v>
      </c>
      <c r="M1" s="3" t="s">
        <v>1269</v>
      </c>
      <c r="N1" s="4" t="s">
        <v>1270</v>
      </c>
    </row>
    <row r="2" spans="1:14" hidden="1" x14ac:dyDescent="0.3">
      <c r="A2" t="s">
        <v>8</v>
      </c>
      <c r="B2" t="s">
        <v>9</v>
      </c>
      <c r="C2" t="s">
        <v>593</v>
      </c>
      <c r="D2" t="s">
        <v>10</v>
      </c>
      <c r="E2">
        <v>215</v>
      </c>
      <c r="F2">
        <v>288</v>
      </c>
      <c r="G2" t="s">
        <v>594</v>
      </c>
      <c r="H2" s="2">
        <v>0.75349999999999995</v>
      </c>
      <c r="I2" s="2">
        <v>1.0679000000000001</v>
      </c>
      <c r="J2" t="s">
        <v>595</v>
      </c>
      <c r="K2">
        <v>505.00799999999998</v>
      </c>
      <c r="L2">
        <v>1</v>
      </c>
      <c r="M2">
        <v>1</v>
      </c>
      <c r="N2" t="str">
        <f>RIGHT(B2,4)</f>
        <v>2020</v>
      </c>
    </row>
    <row r="3" spans="1:14" hidden="1" x14ac:dyDescent="0.3">
      <c r="A3" t="s">
        <v>11</v>
      </c>
      <c r="B3" t="s">
        <v>12</v>
      </c>
      <c r="C3" t="s">
        <v>596</v>
      </c>
      <c r="D3" t="s">
        <v>13</v>
      </c>
      <c r="E3">
        <v>43</v>
      </c>
      <c r="F3">
        <v>60</v>
      </c>
      <c r="G3" t="s">
        <v>597</v>
      </c>
      <c r="H3" s="2">
        <v>0.92249999999999999</v>
      </c>
      <c r="I3" s="2">
        <v>1.3067</v>
      </c>
      <c r="J3" t="s">
        <v>14</v>
      </c>
      <c r="K3">
        <v>115.35</v>
      </c>
      <c r="L3">
        <v>1</v>
      </c>
      <c r="M3">
        <v>1</v>
      </c>
      <c r="N3" t="str">
        <f t="shared" ref="N3:N66" si="0">RIGHT(B3,4)</f>
        <v>2020</v>
      </c>
    </row>
    <row r="4" spans="1:14" hidden="1" x14ac:dyDescent="0.3">
      <c r="A4" t="s">
        <v>15</v>
      </c>
      <c r="B4" t="s">
        <v>16</v>
      </c>
      <c r="C4" t="s">
        <v>598</v>
      </c>
      <c r="D4" t="s">
        <v>17</v>
      </c>
      <c r="E4">
        <v>118</v>
      </c>
      <c r="F4">
        <v>1500</v>
      </c>
      <c r="G4" t="s">
        <v>599</v>
      </c>
      <c r="H4" s="2">
        <v>0.14000000000000001</v>
      </c>
      <c r="I4" s="2">
        <v>0.21360000000000001</v>
      </c>
      <c r="J4" t="s">
        <v>14</v>
      </c>
      <c r="K4">
        <v>1710</v>
      </c>
      <c r="L4">
        <v>1</v>
      </c>
      <c r="M4">
        <v>1</v>
      </c>
      <c r="N4" t="str">
        <f t="shared" si="0"/>
        <v>2020</v>
      </c>
    </row>
    <row r="5" spans="1:14" hidden="1" x14ac:dyDescent="0.3">
      <c r="A5" t="s">
        <v>18</v>
      </c>
      <c r="B5" t="s">
        <v>19</v>
      </c>
      <c r="C5" t="s">
        <v>600</v>
      </c>
      <c r="D5" t="s">
        <v>20</v>
      </c>
      <c r="E5">
        <v>1</v>
      </c>
      <c r="F5">
        <v>33</v>
      </c>
      <c r="G5" t="s">
        <v>601</v>
      </c>
      <c r="H5" s="2">
        <v>-6.0600000000000001E-2</v>
      </c>
      <c r="I5" s="2">
        <v>-6.1000000000000004E-3</v>
      </c>
      <c r="J5" t="s">
        <v>14</v>
      </c>
      <c r="K5">
        <v>31.0002</v>
      </c>
      <c r="L5">
        <v>1</v>
      </c>
      <c r="M5">
        <v>-1</v>
      </c>
      <c r="N5" t="str">
        <f t="shared" si="0"/>
        <v>2020</v>
      </c>
    </row>
    <row r="6" spans="1:14" hidden="1" x14ac:dyDescent="0.3">
      <c r="A6" t="s">
        <v>21</v>
      </c>
      <c r="B6" t="s">
        <v>22</v>
      </c>
      <c r="C6" t="s">
        <v>602</v>
      </c>
      <c r="D6" t="s">
        <v>23</v>
      </c>
      <c r="E6">
        <v>6</v>
      </c>
      <c r="F6">
        <v>120</v>
      </c>
      <c r="G6" t="s">
        <v>603</v>
      </c>
      <c r="H6" s="2">
        <v>8.3299999999999999E-2</v>
      </c>
      <c r="I6" s="2">
        <v>0.13830000000000001</v>
      </c>
      <c r="J6" t="s">
        <v>604</v>
      </c>
      <c r="K6">
        <v>129.99600000000001</v>
      </c>
      <c r="L6">
        <v>1</v>
      </c>
      <c r="M6">
        <v>1</v>
      </c>
      <c r="N6" t="str">
        <f t="shared" si="0"/>
        <v>2020</v>
      </c>
    </row>
    <row r="7" spans="1:14" hidden="1" x14ac:dyDescent="0.3">
      <c r="A7" t="s">
        <v>24</v>
      </c>
      <c r="B7" t="s">
        <v>25</v>
      </c>
      <c r="C7" t="s">
        <v>605</v>
      </c>
      <c r="D7" t="s">
        <v>26</v>
      </c>
      <c r="E7">
        <v>105</v>
      </c>
      <c r="F7">
        <v>145</v>
      </c>
      <c r="G7" t="s">
        <v>606</v>
      </c>
      <c r="H7" s="2">
        <v>0.48209999999999997</v>
      </c>
      <c r="I7" s="2">
        <v>0.19309999999999999</v>
      </c>
      <c r="J7" t="s">
        <v>607</v>
      </c>
      <c r="K7">
        <v>214.90449999999998</v>
      </c>
      <c r="L7">
        <v>1</v>
      </c>
      <c r="M7">
        <v>1</v>
      </c>
      <c r="N7" t="str">
        <f t="shared" si="0"/>
        <v>2020</v>
      </c>
    </row>
    <row r="8" spans="1:14" hidden="1" x14ac:dyDescent="0.3">
      <c r="A8" t="s">
        <v>27</v>
      </c>
      <c r="B8" t="s">
        <v>25</v>
      </c>
      <c r="C8" t="s">
        <v>608</v>
      </c>
      <c r="D8" t="s">
        <v>28</v>
      </c>
      <c r="E8">
        <v>-14</v>
      </c>
      <c r="F8">
        <v>554</v>
      </c>
      <c r="G8" t="s">
        <v>609</v>
      </c>
      <c r="H8" s="2">
        <v>-9.7500000000000003E-2</v>
      </c>
      <c r="I8" s="2">
        <v>-0.13969999999999999</v>
      </c>
      <c r="J8" t="s">
        <v>610</v>
      </c>
      <c r="K8">
        <v>499.98500000000001</v>
      </c>
      <c r="L8">
        <v>-1</v>
      </c>
      <c r="M8">
        <v>-1</v>
      </c>
      <c r="N8" t="str">
        <f t="shared" si="0"/>
        <v>2020</v>
      </c>
    </row>
    <row r="9" spans="1:14" hidden="1" x14ac:dyDescent="0.3">
      <c r="A9" t="s">
        <v>29</v>
      </c>
      <c r="B9" t="s">
        <v>30</v>
      </c>
      <c r="C9" t="s">
        <v>611</v>
      </c>
      <c r="D9" t="s">
        <v>31</v>
      </c>
      <c r="E9">
        <v>328</v>
      </c>
      <c r="F9">
        <v>1230</v>
      </c>
      <c r="G9" t="s">
        <v>612</v>
      </c>
      <c r="H9" s="2">
        <v>0.2341</v>
      </c>
      <c r="I9" s="2">
        <v>0.13950000000000001</v>
      </c>
      <c r="J9" t="s">
        <v>613</v>
      </c>
      <c r="K9">
        <v>1517.943</v>
      </c>
      <c r="L9">
        <v>1</v>
      </c>
      <c r="M9">
        <v>1</v>
      </c>
      <c r="N9" t="str">
        <f t="shared" si="0"/>
        <v>2020</v>
      </c>
    </row>
    <row r="10" spans="1:14" hidden="1" x14ac:dyDescent="0.3">
      <c r="A10" t="s">
        <v>32</v>
      </c>
      <c r="B10" t="s">
        <v>30</v>
      </c>
      <c r="C10" t="s">
        <v>614</v>
      </c>
      <c r="D10" t="s">
        <v>33</v>
      </c>
      <c r="E10">
        <v>310</v>
      </c>
      <c r="F10">
        <v>340</v>
      </c>
      <c r="G10" t="s">
        <v>615</v>
      </c>
      <c r="H10" s="2">
        <v>1.1499999999999999</v>
      </c>
      <c r="I10" s="2">
        <v>0.72</v>
      </c>
      <c r="J10" t="s">
        <v>616</v>
      </c>
      <c r="K10">
        <v>731</v>
      </c>
      <c r="L10">
        <v>1</v>
      </c>
      <c r="M10">
        <v>1</v>
      </c>
      <c r="N10" t="str">
        <f t="shared" si="0"/>
        <v>2020</v>
      </c>
    </row>
    <row r="11" spans="1:14" hidden="1" x14ac:dyDescent="0.3">
      <c r="A11" t="s">
        <v>34</v>
      </c>
      <c r="B11" t="s">
        <v>35</v>
      </c>
      <c r="C11" t="s">
        <v>617</v>
      </c>
      <c r="D11" t="s">
        <v>36</v>
      </c>
      <c r="E11">
        <v>-5</v>
      </c>
      <c r="F11">
        <v>306</v>
      </c>
      <c r="G11" t="s">
        <v>618</v>
      </c>
      <c r="H11" s="2">
        <v>-0.1013</v>
      </c>
      <c r="I11" s="2">
        <v>-9.8500000000000004E-2</v>
      </c>
      <c r="J11" t="s">
        <v>14</v>
      </c>
      <c r="K11">
        <v>275.00220000000002</v>
      </c>
      <c r="L11">
        <v>-1</v>
      </c>
      <c r="M11">
        <v>-1</v>
      </c>
      <c r="N11" t="str">
        <f t="shared" si="0"/>
        <v>2020</v>
      </c>
    </row>
    <row r="12" spans="1:14" hidden="1" x14ac:dyDescent="0.3">
      <c r="A12" t="s">
        <v>37</v>
      </c>
      <c r="B12" t="s">
        <v>38</v>
      </c>
      <c r="C12" t="s">
        <v>617</v>
      </c>
      <c r="D12" t="s">
        <v>39</v>
      </c>
      <c r="E12">
        <v>310</v>
      </c>
      <c r="F12">
        <v>350</v>
      </c>
      <c r="G12" t="s">
        <v>619</v>
      </c>
      <c r="H12" s="2">
        <v>1.0486</v>
      </c>
      <c r="I12" s="2">
        <v>0.8609</v>
      </c>
      <c r="J12" t="s">
        <v>620</v>
      </c>
      <c r="K12">
        <v>717.01</v>
      </c>
      <c r="L12">
        <v>1</v>
      </c>
      <c r="M12">
        <v>1</v>
      </c>
      <c r="N12" t="str">
        <f t="shared" si="0"/>
        <v>2020</v>
      </c>
    </row>
    <row r="13" spans="1:14" hidden="1" x14ac:dyDescent="0.3">
      <c r="A13" t="s">
        <v>40</v>
      </c>
      <c r="B13" t="s">
        <v>41</v>
      </c>
      <c r="C13" t="s">
        <v>621</v>
      </c>
      <c r="D13" t="s">
        <v>20</v>
      </c>
      <c r="E13">
        <v>-8</v>
      </c>
      <c r="F13">
        <v>216</v>
      </c>
      <c r="G13" t="s">
        <v>622</v>
      </c>
      <c r="H13" s="2">
        <v>1.9400000000000001E-2</v>
      </c>
      <c r="I13" s="2">
        <v>0.1028</v>
      </c>
      <c r="J13" t="s">
        <v>623</v>
      </c>
      <c r="K13">
        <v>220.19040000000001</v>
      </c>
      <c r="L13">
        <v>-1</v>
      </c>
      <c r="M13">
        <v>1</v>
      </c>
      <c r="N13" t="str">
        <f t="shared" si="0"/>
        <v>2021</v>
      </c>
    </row>
    <row r="14" spans="1:14" hidden="1" x14ac:dyDescent="0.3">
      <c r="A14" t="s">
        <v>42</v>
      </c>
      <c r="B14" t="s">
        <v>43</v>
      </c>
      <c r="C14" t="s">
        <v>624</v>
      </c>
      <c r="D14" t="s">
        <v>44</v>
      </c>
      <c r="E14">
        <v>130</v>
      </c>
      <c r="F14">
        <v>274</v>
      </c>
      <c r="G14" t="s">
        <v>625</v>
      </c>
      <c r="H14" s="2">
        <v>0.53649999999999998</v>
      </c>
      <c r="I14" s="2">
        <v>0.42649999999999999</v>
      </c>
      <c r="J14" t="s">
        <v>626</v>
      </c>
      <c r="K14">
        <v>421.00099999999998</v>
      </c>
      <c r="L14">
        <v>1</v>
      </c>
      <c r="M14">
        <v>1</v>
      </c>
      <c r="N14" t="str">
        <f t="shared" si="0"/>
        <v>2021</v>
      </c>
    </row>
    <row r="15" spans="1:14" hidden="1" x14ac:dyDescent="0.3">
      <c r="A15" t="s">
        <v>45</v>
      </c>
      <c r="B15" t="s">
        <v>46</v>
      </c>
      <c r="C15" t="s">
        <v>627</v>
      </c>
      <c r="D15" t="s">
        <v>47</v>
      </c>
      <c r="E15">
        <v>80</v>
      </c>
      <c r="F15">
        <v>274</v>
      </c>
      <c r="G15" t="s">
        <v>628</v>
      </c>
      <c r="H15" s="2">
        <v>0.14960000000000001</v>
      </c>
      <c r="I15" s="2">
        <v>0.22239999999999999</v>
      </c>
      <c r="J15" t="s">
        <v>629</v>
      </c>
      <c r="K15">
        <v>314.99040000000002</v>
      </c>
      <c r="L15">
        <v>1</v>
      </c>
      <c r="M15">
        <v>1</v>
      </c>
      <c r="N15" t="str">
        <f t="shared" si="0"/>
        <v>2021</v>
      </c>
    </row>
    <row r="16" spans="1:14" hidden="1" x14ac:dyDescent="0.3">
      <c r="A16" t="s">
        <v>48</v>
      </c>
      <c r="B16" t="s">
        <v>49</v>
      </c>
      <c r="C16" t="s">
        <v>630</v>
      </c>
      <c r="D16" t="s">
        <v>50</v>
      </c>
      <c r="E16">
        <v>320</v>
      </c>
      <c r="F16">
        <v>585</v>
      </c>
      <c r="G16" t="s">
        <v>631</v>
      </c>
      <c r="H16" s="2">
        <v>0.46329999999999999</v>
      </c>
      <c r="I16" s="2">
        <v>0.29060000000000002</v>
      </c>
      <c r="J16" t="s">
        <v>632</v>
      </c>
      <c r="K16">
        <v>856.03050000000007</v>
      </c>
      <c r="L16">
        <v>1</v>
      </c>
      <c r="M16">
        <v>1</v>
      </c>
      <c r="N16" t="str">
        <f t="shared" si="0"/>
        <v>2021</v>
      </c>
    </row>
    <row r="17" spans="1:14" hidden="1" x14ac:dyDescent="0.3">
      <c r="A17" t="s">
        <v>51</v>
      </c>
      <c r="B17" t="s">
        <v>52</v>
      </c>
      <c r="C17" t="s">
        <v>633</v>
      </c>
      <c r="D17" t="s">
        <v>53</v>
      </c>
      <c r="E17">
        <v>125</v>
      </c>
      <c r="F17">
        <v>796</v>
      </c>
      <c r="G17" t="s">
        <v>634</v>
      </c>
      <c r="H17" s="2">
        <v>0.30649999999999999</v>
      </c>
      <c r="I17" s="2">
        <v>0.40849999999999997</v>
      </c>
      <c r="J17" t="s">
        <v>635</v>
      </c>
      <c r="K17">
        <v>1039.9739999999999</v>
      </c>
      <c r="L17">
        <v>1</v>
      </c>
      <c r="M17">
        <v>1</v>
      </c>
      <c r="N17" t="str">
        <f t="shared" si="0"/>
        <v>2021</v>
      </c>
    </row>
    <row r="18" spans="1:14" hidden="1" x14ac:dyDescent="0.3">
      <c r="A18" t="s">
        <v>54</v>
      </c>
      <c r="B18" t="s">
        <v>55</v>
      </c>
      <c r="C18" t="s">
        <v>636</v>
      </c>
      <c r="D18" t="s">
        <v>56</v>
      </c>
      <c r="E18">
        <v>-55</v>
      </c>
      <c r="F18">
        <v>500</v>
      </c>
      <c r="G18" t="s">
        <v>637</v>
      </c>
      <c r="H18" s="2">
        <v>-0.126</v>
      </c>
      <c r="I18" s="2">
        <v>-1.29E-2</v>
      </c>
      <c r="J18" t="s">
        <v>638</v>
      </c>
      <c r="K18">
        <v>437</v>
      </c>
      <c r="L18">
        <v>-1</v>
      </c>
      <c r="M18">
        <v>-1</v>
      </c>
      <c r="N18" t="str">
        <f t="shared" si="0"/>
        <v>2021</v>
      </c>
    </row>
    <row r="19" spans="1:14" hidden="1" x14ac:dyDescent="0.3">
      <c r="A19" t="s">
        <v>57</v>
      </c>
      <c r="B19" t="s">
        <v>58</v>
      </c>
      <c r="C19" t="s">
        <v>639</v>
      </c>
      <c r="D19" t="s">
        <v>59</v>
      </c>
      <c r="E19">
        <v>670</v>
      </c>
      <c r="F19">
        <v>1033</v>
      </c>
      <c r="G19" t="s">
        <v>640</v>
      </c>
      <c r="H19" s="2">
        <v>0.51500000000000001</v>
      </c>
      <c r="I19" s="2">
        <v>0.35</v>
      </c>
      <c r="J19" t="s">
        <v>641</v>
      </c>
      <c r="K19">
        <v>1564.9949999999999</v>
      </c>
      <c r="L19">
        <v>1</v>
      </c>
      <c r="M19">
        <v>1</v>
      </c>
      <c r="N19" t="str">
        <f t="shared" si="0"/>
        <v>2021</v>
      </c>
    </row>
    <row r="20" spans="1:14" hidden="1" x14ac:dyDescent="0.3">
      <c r="A20" t="s">
        <v>60</v>
      </c>
      <c r="B20" t="s">
        <v>61</v>
      </c>
      <c r="C20" t="s">
        <v>617</v>
      </c>
      <c r="D20" t="s">
        <v>62</v>
      </c>
      <c r="E20">
        <v>-10</v>
      </c>
      <c r="F20">
        <v>118</v>
      </c>
      <c r="G20" t="s">
        <v>642</v>
      </c>
      <c r="H20" s="2">
        <v>-0.23730000000000001</v>
      </c>
      <c r="I20" s="2">
        <v>-0.15590000000000001</v>
      </c>
      <c r="J20" t="s">
        <v>643</v>
      </c>
      <c r="K20">
        <v>89.998599999999996</v>
      </c>
      <c r="L20">
        <v>-1</v>
      </c>
      <c r="M20">
        <v>-1</v>
      </c>
      <c r="N20" t="str">
        <f t="shared" si="0"/>
        <v>2021</v>
      </c>
    </row>
    <row r="21" spans="1:14" hidden="1" x14ac:dyDescent="0.3">
      <c r="A21" t="s">
        <v>63</v>
      </c>
      <c r="B21" t="s">
        <v>64</v>
      </c>
      <c r="C21" t="s">
        <v>644</v>
      </c>
      <c r="D21" t="s">
        <v>65</v>
      </c>
      <c r="E21">
        <v>18</v>
      </c>
      <c r="F21">
        <v>425</v>
      </c>
      <c r="G21" t="s">
        <v>645</v>
      </c>
      <c r="H21" s="2">
        <v>-0.15290000000000001</v>
      </c>
      <c r="I21" s="2">
        <v>-0.1988</v>
      </c>
      <c r="J21" t="s">
        <v>646</v>
      </c>
      <c r="K21">
        <v>360.01749999999998</v>
      </c>
      <c r="L21">
        <v>1</v>
      </c>
      <c r="M21">
        <v>-1</v>
      </c>
      <c r="N21" t="str">
        <f t="shared" si="0"/>
        <v>2021</v>
      </c>
    </row>
    <row r="22" spans="1:14" hidden="1" x14ac:dyDescent="0.3">
      <c r="A22" t="s">
        <v>66</v>
      </c>
      <c r="B22" t="s">
        <v>67</v>
      </c>
      <c r="C22" t="s">
        <v>647</v>
      </c>
      <c r="D22" t="s">
        <v>68</v>
      </c>
      <c r="E22">
        <v>45</v>
      </c>
      <c r="F22">
        <v>550</v>
      </c>
      <c r="G22" t="s">
        <v>648</v>
      </c>
      <c r="H22" s="2">
        <v>9.0899999999999995E-2</v>
      </c>
      <c r="I22" s="2">
        <v>6.0999999999999999E-2</v>
      </c>
      <c r="J22" t="s">
        <v>649</v>
      </c>
      <c r="K22">
        <v>599.995</v>
      </c>
      <c r="L22">
        <v>1</v>
      </c>
      <c r="M22">
        <v>1</v>
      </c>
      <c r="N22" t="str">
        <f t="shared" si="0"/>
        <v>2021</v>
      </c>
    </row>
    <row r="23" spans="1:14" hidden="1" x14ac:dyDescent="0.3">
      <c r="A23" t="s">
        <v>69</v>
      </c>
      <c r="B23" t="s">
        <v>70</v>
      </c>
      <c r="C23" t="s">
        <v>650</v>
      </c>
      <c r="D23" t="s">
        <v>71</v>
      </c>
      <c r="E23">
        <v>270</v>
      </c>
      <c r="F23">
        <v>453</v>
      </c>
      <c r="G23" t="s">
        <v>651</v>
      </c>
      <c r="H23" s="2">
        <v>0.67769999999999997</v>
      </c>
      <c r="I23" s="2">
        <v>0.6028</v>
      </c>
      <c r="J23" t="s">
        <v>652</v>
      </c>
      <c r="K23">
        <v>759.99810000000002</v>
      </c>
      <c r="L23">
        <v>1</v>
      </c>
      <c r="M23">
        <v>1</v>
      </c>
      <c r="N23" t="str">
        <f t="shared" si="0"/>
        <v>2021</v>
      </c>
    </row>
    <row r="24" spans="1:14" hidden="1" x14ac:dyDescent="0.3">
      <c r="A24" t="s">
        <v>72</v>
      </c>
      <c r="B24" t="s">
        <v>73</v>
      </c>
      <c r="C24" t="s">
        <v>653</v>
      </c>
      <c r="D24" t="s">
        <v>74</v>
      </c>
      <c r="E24">
        <v>-80</v>
      </c>
      <c r="F24">
        <v>900</v>
      </c>
      <c r="G24" t="s">
        <v>654</v>
      </c>
      <c r="H24" s="2">
        <v>-6.1100000000000002E-2</v>
      </c>
      <c r="I24" s="2">
        <v>7.6E-3</v>
      </c>
      <c r="J24" t="s">
        <v>655</v>
      </c>
      <c r="K24">
        <v>845.01</v>
      </c>
      <c r="L24">
        <v>-1</v>
      </c>
      <c r="M24">
        <v>-1</v>
      </c>
      <c r="N24" t="str">
        <f t="shared" si="0"/>
        <v>2021</v>
      </c>
    </row>
    <row r="25" spans="1:14" hidden="1" x14ac:dyDescent="0.3">
      <c r="A25" t="s">
        <v>75</v>
      </c>
      <c r="B25" t="s">
        <v>76</v>
      </c>
      <c r="C25" t="s">
        <v>656</v>
      </c>
      <c r="D25" t="s">
        <v>77</v>
      </c>
      <c r="E25">
        <v>495</v>
      </c>
      <c r="F25">
        <v>690</v>
      </c>
      <c r="G25" t="s">
        <v>657</v>
      </c>
      <c r="H25" s="2">
        <v>0.89859999999999995</v>
      </c>
      <c r="I25" s="2">
        <v>0.81699999999999995</v>
      </c>
      <c r="J25" t="s">
        <v>658</v>
      </c>
      <c r="K25">
        <v>1310.0340000000001</v>
      </c>
      <c r="L25">
        <v>1</v>
      </c>
      <c r="M25">
        <v>1</v>
      </c>
      <c r="N25" t="str">
        <f t="shared" si="0"/>
        <v>2021</v>
      </c>
    </row>
    <row r="26" spans="1:14" hidden="1" x14ac:dyDescent="0.3">
      <c r="A26" t="s">
        <v>78</v>
      </c>
      <c r="B26" t="s">
        <v>79</v>
      </c>
      <c r="C26">
        <v>1023.84</v>
      </c>
      <c r="D26" t="s">
        <v>80</v>
      </c>
      <c r="E26">
        <v>180</v>
      </c>
      <c r="F26">
        <v>662</v>
      </c>
      <c r="G26" t="s">
        <v>659</v>
      </c>
      <c r="H26" s="2">
        <v>3.0200000000000001E-2</v>
      </c>
      <c r="I26" s="2">
        <v>0.26889999999999997</v>
      </c>
      <c r="J26" t="s">
        <v>660</v>
      </c>
      <c r="K26">
        <v>681.99239999999998</v>
      </c>
      <c r="L26">
        <v>1</v>
      </c>
      <c r="M26">
        <v>1</v>
      </c>
      <c r="N26" t="str">
        <f t="shared" si="0"/>
        <v>2021</v>
      </c>
    </row>
    <row r="27" spans="1:14" hidden="1" x14ac:dyDescent="0.3">
      <c r="A27" t="s">
        <v>81</v>
      </c>
      <c r="B27" t="s">
        <v>82</v>
      </c>
      <c r="C27" t="s">
        <v>617</v>
      </c>
      <c r="D27" t="s">
        <v>83</v>
      </c>
      <c r="E27">
        <v>265</v>
      </c>
      <c r="F27">
        <v>197</v>
      </c>
      <c r="G27" t="s">
        <v>661</v>
      </c>
      <c r="H27" s="2">
        <v>1.6</v>
      </c>
      <c r="I27" s="2">
        <v>1.4810000000000001</v>
      </c>
      <c r="J27" t="s">
        <v>662</v>
      </c>
      <c r="K27">
        <v>512.20000000000005</v>
      </c>
      <c r="L27">
        <v>1</v>
      </c>
      <c r="M27">
        <v>1</v>
      </c>
      <c r="N27" t="str">
        <f t="shared" si="0"/>
        <v>2021</v>
      </c>
    </row>
    <row r="28" spans="1:14" hidden="1" x14ac:dyDescent="0.3">
      <c r="A28" t="s">
        <v>84</v>
      </c>
      <c r="B28" t="s">
        <v>85</v>
      </c>
      <c r="C28" t="s">
        <v>663</v>
      </c>
      <c r="D28" t="s">
        <v>86</v>
      </c>
      <c r="E28">
        <v>130</v>
      </c>
      <c r="F28">
        <v>1180</v>
      </c>
      <c r="G28" t="s">
        <v>664</v>
      </c>
      <c r="H28" s="2">
        <v>0.14410000000000001</v>
      </c>
      <c r="I28" s="2">
        <v>3.0599999999999999E-2</v>
      </c>
      <c r="J28" t="s">
        <v>665</v>
      </c>
      <c r="K28">
        <v>1350.038</v>
      </c>
      <c r="L28">
        <v>1</v>
      </c>
      <c r="M28">
        <v>1</v>
      </c>
      <c r="N28" t="str">
        <f t="shared" si="0"/>
        <v>2021</v>
      </c>
    </row>
    <row r="29" spans="1:14" hidden="1" x14ac:dyDescent="0.3">
      <c r="A29" t="s">
        <v>87</v>
      </c>
      <c r="B29" t="s">
        <v>85</v>
      </c>
      <c r="C29" t="s">
        <v>666</v>
      </c>
      <c r="D29" t="s">
        <v>88</v>
      </c>
      <c r="E29">
        <v>-30</v>
      </c>
      <c r="F29">
        <v>2150</v>
      </c>
      <c r="G29" t="s">
        <v>667</v>
      </c>
      <c r="H29" s="2">
        <v>-9.2999999999999999E-2</v>
      </c>
      <c r="I29" s="2">
        <v>-0.27250000000000002</v>
      </c>
      <c r="J29" t="s">
        <v>668</v>
      </c>
      <c r="K29">
        <v>1950.05</v>
      </c>
      <c r="L29">
        <v>-1</v>
      </c>
      <c r="M29">
        <v>-1</v>
      </c>
      <c r="N29" t="str">
        <f t="shared" si="0"/>
        <v>2021</v>
      </c>
    </row>
    <row r="30" spans="1:14" hidden="1" x14ac:dyDescent="0.3">
      <c r="A30" t="s">
        <v>89</v>
      </c>
      <c r="B30" t="s">
        <v>90</v>
      </c>
      <c r="C30" t="s">
        <v>669</v>
      </c>
      <c r="D30" t="s">
        <v>91</v>
      </c>
      <c r="E30">
        <v>70</v>
      </c>
      <c r="F30">
        <v>542</v>
      </c>
      <c r="G30" t="s">
        <v>670</v>
      </c>
      <c r="H30" s="2">
        <v>0</v>
      </c>
      <c r="I30" s="2">
        <v>-5.8700000000000002E-2</v>
      </c>
      <c r="J30" t="s">
        <v>671</v>
      </c>
      <c r="K30">
        <v>542</v>
      </c>
      <c r="L30">
        <v>1</v>
      </c>
      <c r="M30">
        <v>0</v>
      </c>
      <c r="N30" t="str">
        <f t="shared" si="0"/>
        <v>2021</v>
      </c>
    </row>
    <row r="31" spans="1:14" hidden="1" x14ac:dyDescent="0.3">
      <c r="A31" t="s">
        <v>92</v>
      </c>
      <c r="B31" t="s">
        <v>90</v>
      </c>
      <c r="C31" t="s">
        <v>672</v>
      </c>
      <c r="D31" t="s">
        <v>93</v>
      </c>
      <c r="E31">
        <v>225</v>
      </c>
      <c r="F31">
        <v>163</v>
      </c>
      <c r="G31" t="s">
        <v>673</v>
      </c>
      <c r="H31" s="2">
        <v>2.4969000000000001</v>
      </c>
      <c r="I31" s="2">
        <v>2.7040000000000002</v>
      </c>
      <c r="J31" t="s">
        <v>674</v>
      </c>
      <c r="K31">
        <v>569.99469999999997</v>
      </c>
      <c r="L31">
        <v>1</v>
      </c>
      <c r="M31">
        <v>1</v>
      </c>
      <c r="N31" t="str">
        <f t="shared" si="0"/>
        <v>2021</v>
      </c>
    </row>
    <row r="32" spans="1:14" hidden="1" x14ac:dyDescent="0.3">
      <c r="A32" t="s">
        <v>94</v>
      </c>
      <c r="B32" t="s">
        <v>90</v>
      </c>
      <c r="C32" t="s">
        <v>675</v>
      </c>
      <c r="D32" t="s">
        <v>95</v>
      </c>
      <c r="E32">
        <v>135</v>
      </c>
      <c r="F32">
        <v>980</v>
      </c>
      <c r="G32" t="s">
        <v>676</v>
      </c>
      <c r="H32" s="2">
        <v>0.17349999999999999</v>
      </c>
      <c r="I32" s="2">
        <v>0.22739999999999999</v>
      </c>
      <c r="J32" t="s">
        <v>677</v>
      </c>
      <c r="K32">
        <v>1150.03</v>
      </c>
      <c r="L32">
        <v>1</v>
      </c>
      <c r="M32">
        <v>1</v>
      </c>
      <c r="N32" t="str">
        <f t="shared" si="0"/>
        <v>2021</v>
      </c>
    </row>
    <row r="33" spans="1:14" hidden="1" x14ac:dyDescent="0.3">
      <c r="A33" t="s">
        <v>96</v>
      </c>
      <c r="B33" t="s">
        <v>97</v>
      </c>
      <c r="C33" t="s">
        <v>678</v>
      </c>
      <c r="D33" t="s">
        <v>98</v>
      </c>
      <c r="E33">
        <v>775</v>
      </c>
      <c r="F33">
        <v>1125</v>
      </c>
      <c r="G33" t="s">
        <v>679</v>
      </c>
      <c r="H33" s="2">
        <v>0.79379999999999995</v>
      </c>
      <c r="I33" s="2">
        <v>0.96150000000000002</v>
      </c>
      <c r="J33" t="s">
        <v>680</v>
      </c>
      <c r="K33">
        <v>2018.0250000000001</v>
      </c>
      <c r="L33">
        <v>1</v>
      </c>
      <c r="M33">
        <v>1</v>
      </c>
      <c r="N33" t="str">
        <f t="shared" si="0"/>
        <v>2021</v>
      </c>
    </row>
    <row r="34" spans="1:14" hidden="1" x14ac:dyDescent="0.3">
      <c r="A34" t="s">
        <v>99</v>
      </c>
      <c r="B34" t="s">
        <v>100</v>
      </c>
      <c r="C34" t="s">
        <v>681</v>
      </c>
      <c r="D34" t="s">
        <v>101</v>
      </c>
      <c r="E34">
        <v>35</v>
      </c>
      <c r="F34">
        <v>712</v>
      </c>
      <c r="G34" t="s">
        <v>682</v>
      </c>
      <c r="H34" s="2">
        <v>4.1999999999999997E-3</v>
      </c>
      <c r="I34" s="2">
        <v>-1.7299999999999999E-2</v>
      </c>
      <c r="J34" t="s">
        <v>683</v>
      </c>
      <c r="K34">
        <v>714.99040000000002</v>
      </c>
      <c r="L34">
        <v>1</v>
      </c>
      <c r="M34">
        <v>1</v>
      </c>
      <c r="N34" t="str">
        <f t="shared" si="0"/>
        <v>2021</v>
      </c>
    </row>
    <row r="35" spans="1:14" hidden="1" x14ac:dyDescent="0.3">
      <c r="A35" t="s">
        <v>102</v>
      </c>
      <c r="B35" t="s">
        <v>103</v>
      </c>
      <c r="C35" t="s">
        <v>684</v>
      </c>
      <c r="D35" t="s">
        <v>104</v>
      </c>
      <c r="E35">
        <v>220</v>
      </c>
      <c r="F35">
        <v>175</v>
      </c>
      <c r="G35" t="s">
        <v>685</v>
      </c>
      <c r="H35" s="2">
        <v>1.7142999999999999</v>
      </c>
      <c r="I35" s="2">
        <v>1.85</v>
      </c>
      <c r="J35" t="s">
        <v>686</v>
      </c>
      <c r="K35">
        <v>475.0025</v>
      </c>
      <c r="L35">
        <v>1</v>
      </c>
      <c r="M35">
        <v>1</v>
      </c>
      <c r="N35" t="str">
        <f t="shared" si="0"/>
        <v>2021</v>
      </c>
    </row>
    <row r="36" spans="1:14" hidden="1" x14ac:dyDescent="0.3">
      <c r="A36" t="s">
        <v>105</v>
      </c>
      <c r="B36" t="s">
        <v>106</v>
      </c>
      <c r="C36" t="s">
        <v>687</v>
      </c>
      <c r="D36" t="s">
        <v>107</v>
      </c>
      <c r="E36">
        <v>60</v>
      </c>
      <c r="F36">
        <v>744</v>
      </c>
      <c r="G36" t="s">
        <v>688</v>
      </c>
      <c r="H36" s="2">
        <v>9.0700000000000003E-2</v>
      </c>
      <c r="I36" s="2">
        <v>0.1004</v>
      </c>
      <c r="J36" t="s">
        <v>689</v>
      </c>
      <c r="K36">
        <v>811.48080000000004</v>
      </c>
      <c r="L36">
        <v>1</v>
      </c>
      <c r="M36">
        <v>1</v>
      </c>
      <c r="N36" t="str">
        <f t="shared" si="0"/>
        <v>2021</v>
      </c>
    </row>
    <row r="37" spans="1:14" hidden="1" x14ac:dyDescent="0.3">
      <c r="A37" t="s">
        <v>108</v>
      </c>
      <c r="B37" t="s">
        <v>109</v>
      </c>
      <c r="C37" t="s">
        <v>690</v>
      </c>
      <c r="D37" t="s">
        <v>110</v>
      </c>
      <c r="E37">
        <v>155</v>
      </c>
      <c r="F37">
        <v>610</v>
      </c>
      <c r="G37" t="s">
        <v>691</v>
      </c>
      <c r="H37" s="2">
        <v>0.49180000000000001</v>
      </c>
      <c r="I37" s="2">
        <v>0.53280000000000005</v>
      </c>
      <c r="J37" t="s">
        <v>692</v>
      </c>
      <c r="K37">
        <v>909.99800000000005</v>
      </c>
      <c r="L37">
        <v>1</v>
      </c>
      <c r="M37">
        <v>1</v>
      </c>
      <c r="N37" t="str">
        <f t="shared" si="0"/>
        <v>2021</v>
      </c>
    </row>
    <row r="38" spans="1:14" hidden="1" x14ac:dyDescent="0.3">
      <c r="A38" t="s">
        <v>111</v>
      </c>
      <c r="B38" t="s">
        <v>109</v>
      </c>
      <c r="C38" t="s">
        <v>693</v>
      </c>
      <c r="D38" t="s">
        <v>112</v>
      </c>
      <c r="E38">
        <v>-10</v>
      </c>
      <c r="F38">
        <v>531</v>
      </c>
      <c r="G38" t="s">
        <v>694</v>
      </c>
      <c r="H38" s="2">
        <v>1.6899999999999998E-2</v>
      </c>
      <c r="I38" s="2">
        <v>0.1678</v>
      </c>
      <c r="J38" t="s">
        <v>695</v>
      </c>
      <c r="K38">
        <v>539.97389999999996</v>
      </c>
      <c r="L38">
        <v>-1</v>
      </c>
      <c r="M38">
        <v>1</v>
      </c>
      <c r="N38" t="str">
        <f t="shared" si="0"/>
        <v>2021</v>
      </c>
    </row>
    <row r="39" spans="1:14" hidden="1" x14ac:dyDescent="0.3">
      <c r="A39" t="s">
        <v>113</v>
      </c>
      <c r="B39" t="s">
        <v>114</v>
      </c>
      <c r="C39" t="s">
        <v>696</v>
      </c>
      <c r="D39" t="s">
        <v>115</v>
      </c>
      <c r="E39">
        <v>-12</v>
      </c>
      <c r="F39">
        <v>353</v>
      </c>
      <c r="G39" t="s">
        <v>697</v>
      </c>
      <c r="H39" s="2">
        <v>-5.67E-2</v>
      </c>
      <c r="I39" s="2">
        <v>-1.7299999999999999E-2</v>
      </c>
      <c r="J39" t="s">
        <v>698</v>
      </c>
      <c r="K39">
        <v>332.98489999999998</v>
      </c>
      <c r="L39">
        <v>-1</v>
      </c>
      <c r="M39">
        <v>-1</v>
      </c>
      <c r="N39" t="str">
        <f t="shared" si="0"/>
        <v>2021</v>
      </c>
    </row>
    <row r="40" spans="1:14" hidden="1" x14ac:dyDescent="0.3">
      <c r="A40" t="s">
        <v>116</v>
      </c>
      <c r="B40" t="s">
        <v>114</v>
      </c>
      <c r="C40" t="s">
        <v>699</v>
      </c>
      <c r="D40" t="s">
        <v>117</v>
      </c>
      <c r="E40">
        <v>-15</v>
      </c>
      <c r="F40">
        <v>541</v>
      </c>
      <c r="G40" t="s">
        <v>700</v>
      </c>
      <c r="H40" s="2">
        <v>1.66E-2</v>
      </c>
      <c r="I40" s="2">
        <v>-0.01</v>
      </c>
      <c r="J40" t="s">
        <v>701</v>
      </c>
      <c r="K40">
        <v>549.98059999999998</v>
      </c>
      <c r="L40">
        <v>-1</v>
      </c>
      <c r="M40">
        <v>1</v>
      </c>
      <c r="N40" t="str">
        <f t="shared" si="0"/>
        <v>2021</v>
      </c>
    </row>
    <row r="41" spans="1:14" hidden="1" x14ac:dyDescent="0.3">
      <c r="A41" t="s">
        <v>118</v>
      </c>
      <c r="B41" t="s">
        <v>119</v>
      </c>
      <c r="C41" t="s">
        <v>702</v>
      </c>
      <c r="D41" t="s">
        <v>120</v>
      </c>
      <c r="E41">
        <v>-12</v>
      </c>
      <c r="F41">
        <v>570</v>
      </c>
      <c r="G41" t="s">
        <v>703</v>
      </c>
      <c r="H41" s="2">
        <v>-0.14910000000000001</v>
      </c>
      <c r="I41" s="2">
        <v>-6.7199999999999996E-2</v>
      </c>
      <c r="J41" t="s">
        <v>704</v>
      </c>
      <c r="K41">
        <v>485.01299999999998</v>
      </c>
      <c r="L41">
        <v>-1</v>
      </c>
      <c r="M41">
        <v>-1</v>
      </c>
      <c r="N41" t="str">
        <f t="shared" si="0"/>
        <v>2021</v>
      </c>
    </row>
    <row r="42" spans="1:14" hidden="1" x14ac:dyDescent="0.3">
      <c r="A42" t="s">
        <v>121</v>
      </c>
      <c r="B42" t="s">
        <v>122</v>
      </c>
      <c r="C42" t="s">
        <v>705</v>
      </c>
      <c r="D42" t="s">
        <v>123</v>
      </c>
      <c r="E42">
        <v>140</v>
      </c>
      <c r="F42">
        <v>1618</v>
      </c>
      <c r="G42" t="s">
        <v>706</v>
      </c>
      <c r="H42" s="2">
        <v>-1.12E-2</v>
      </c>
      <c r="I42" s="2">
        <v>-7.2300000000000003E-2</v>
      </c>
      <c r="J42" t="s">
        <v>707</v>
      </c>
      <c r="K42">
        <v>1599.8784000000001</v>
      </c>
      <c r="L42">
        <v>1</v>
      </c>
      <c r="M42">
        <v>-1</v>
      </c>
      <c r="N42" t="str">
        <f t="shared" si="0"/>
        <v>2021</v>
      </c>
    </row>
    <row r="43" spans="1:14" hidden="1" x14ac:dyDescent="0.3">
      <c r="A43" t="s">
        <v>124</v>
      </c>
      <c r="B43" t="s">
        <v>125</v>
      </c>
      <c r="C43" t="s">
        <v>708</v>
      </c>
      <c r="D43" t="s">
        <v>126</v>
      </c>
      <c r="E43">
        <v>59</v>
      </c>
      <c r="F43">
        <v>90</v>
      </c>
      <c r="G43" t="s">
        <v>709</v>
      </c>
      <c r="H43" s="2">
        <v>0.56559999999999999</v>
      </c>
      <c r="I43" s="2">
        <v>0.37219999999999998</v>
      </c>
      <c r="J43" t="s">
        <v>710</v>
      </c>
      <c r="K43">
        <v>140.904</v>
      </c>
      <c r="L43">
        <v>1</v>
      </c>
      <c r="M43">
        <v>1</v>
      </c>
      <c r="N43" t="str">
        <f t="shared" si="0"/>
        <v>2021</v>
      </c>
    </row>
    <row r="44" spans="1:14" hidden="1" x14ac:dyDescent="0.3">
      <c r="A44" t="s">
        <v>127</v>
      </c>
      <c r="B44" t="s">
        <v>125</v>
      </c>
      <c r="C44" t="s">
        <v>711</v>
      </c>
      <c r="D44" t="s">
        <v>128</v>
      </c>
      <c r="E44">
        <v>222</v>
      </c>
      <c r="F44">
        <v>954</v>
      </c>
      <c r="G44" t="s">
        <v>712</v>
      </c>
      <c r="H44" s="2">
        <v>5.3999999999999999E-2</v>
      </c>
      <c r="I44" s="2">
        <v>3.85E-2</v>
      </c>
      <c r="J44" t="s">
        <v>713</v>
      </c>
      <c r="K44">
        <v>1005.516</v>
      </c>
      <c r="L44">
        <v>1</v>
      </c>
      <c r="M44">
        <v>1</v>
      </c>
      <c r="N44" t="str">
        <f t="shared" si="0"/>
        <v>2021</v>
      </c>
    </row>
    <row r="45" spans="1:14" hidden="1" x14ac:dyDescent="0.3">
      <c r="A45" t="s">
        <v>129</v>
      </c>
      <c r="B45" t="s">
        <v>125</v>
      </c>
      <c r="C45" t="s">
        <v>714</v>
      </c>
      <c r="D45" t="s">
        <v>130</v>
      </c>
      <c r="E45">
        <v>80</v>
      </c>
      <c r="F45">
        <v>460</v>
      </c>
      <c r="G45" t="s">
        <v>715</v>
      </c>
      <c r="H45" s="2">
        <v>-0.05</v>
      </c>
      <c r="I45" s="2">
        <v>-0.1149</v>
      </c>
      <c r="J45" t="s">
        <v>716</v>
      </c>
      <c r="K45">
        <v>437</v>
      </c>
      <c r="L45">
        <v>1</v>
      </c>
      <c r="M45">
        <v>-1</v>
      </c>
      <c r="N45" t="str">
        <f t="shared" si="0"/>
        <v>2021</v>
      </c>
    </row>
    <row r="46" spans="1:14" hidden="1" x14ac:dyDescent="0.3">
      <c r="A46" t="s">
        <v>131</v>
      </c>
      <c r="B46" t="s">
        <v>125</v>
      </c>
      <c r="C46" t="s">
        <v>717</v>
      </c>
      <c r="D46" t="s">
        <v>132</v>
      </c>
      <c r="E46">
        <v>5</v>
      </c>
      <c r="F46">
        <v>120</v>
      </c>
      <c r="G46" t="s">
        <v>718</v>
      </c>
      <c r="H46" s="2">
        <v>0.05</v>
      </c>
      <c r="I46" s="2">
        <v>0.10249999999999999</v>
      </c>
      <c r="J46" t="s">
        <v>719</v>
      </c>
      <c r="K46">
        <v>126</v>
      </c>
      <c r="L46">
        <v>1</v>
      </c>
      <c r="M46">
        <v>1</v>
      </c>
      <c r="N46" t="str">
        <f t="shared" si="0"/>
        <v>2021</v>
      </c>
    </row>
    <row r="47" spans="1:14" hidden="1" x14ac:dyDescent="0.3">
      <c r="A47" t="s">
        <v>133</v>
      </c>
      <c r="B47" t="s">
        <v>134</v>
      </c>
      <c r="C47" t="s">
        <v>720</v>
      </c>
      <c r="D47" t="s">
        <v>135</v>
      </c>
      <c r="E47">
        <v>455</v>
      </c>
      <c r="F47">
        <v>900</v>
      </c>
      <c r="G47" t="s">
        <v>721</v>
      </c>
      <c r="H47" s="2">
        <v>0.38890000000000002</v>
      </c>
      <c r="I47" s="2">
        <v>0.29670000000000002</v>
      </c>
      <c r="J47" t="s">
        <v>722</v>
      </c>
      <c r="K47">
        <v>1250.01</v>
      </c>
      <c r="L47">
        <v>1</v>
      </c>
      <c r="M47">
        <v>1</v>
      </c>
      <c r="N47" t="str">
        <f t="shared" si="0"/>
        <v>2021</v>
      </c>
    </row>
    <row r="48" spans="1:14" hidden="1" x14ac:dyDescent="0.3">
      <c r="A48" t="s">
        <v>136</v>
      </c>
      <c r="B48" t="s">
        <v>137</v>
      </c>
      <c r="C48" t="s">
        <v>723</v>
      </c>
      <c r="D48" t="s">
        <v>138</v>
      </c>
      <c r="E48">
        <v>82</v>
      </c>
      <c r="F48">
        <v>720</v>
      </c>
      <c r="G48" t="s">
        <v>724</v>
      </c>
      <c r="H48" s="2">
        <v>4.1700000000000001E-2</v>
      </c>
      <c r="I48" s="2">
        <v>3.9600000000000003E-2</v>
      </c>
      <c r="J48" t="s">
        <v>725</v>
      </c>
      <c r="K48">
        <v>750.024</v>
      </c>
      <c r="L48">
        <v>1</v>
      </c>
      <c r="M48">
        <v>1</v>
      </c>
      <c r="N48" t="str">
        <f t="shared" si="0"/>
        <v>2021</v>
      </c>
    </row>
    <row r="49" spans="1:14" hidden="1" x14ac:dyDescent="0.3">
      <c r="A49" t="s">
        <v>139</v>
      </c>
      <c r="B49" t="s">
        <v>140</v>
      </c>
      <c r="C49" t="s">
        <v>726</v>
      </c>
      <c r="D49" t="s">
        <v>141</v>
      </c>
      <c r="E49">
        <v>1110</v>
      </c>
      <c r="F49">
        <v>1083</v>
      </c>
      <c r="G49" t="s">
        <v>727</v>
      </c>
      <c r="H49" s="2">
        <v>0.95</v>
      </c>
      <c r="I49" s="2">
        <v>1.135</v>
      </c>
      <c r="J49" t="s">
        <v>728</v>
      </c>
      <c r="K49">
        <v>2111.85</v>
      </c>
      <c r="L49">
        <v>1</v>
      </c>
      <c r="M49">
        <v>1</v>
      </c>
      <c r="N49" t="str">
        <f t="shared" si="0"/>
        <v>2021</v>
      </c>
    </row>
    <row r="50" spans="1:14" hidden="1" x14ac:dyDescent="0.3">
      <c r="A50" t="s">
        <v>142</v>
      </c>
      <c r="B50" t="s">
        <v>143</v>
      </c>
      <c r="C50" t="s">
        <v>729</v>
      </c>
      <c r="D50" t="s">
        <v>144</v>
      </c>
      <c r="E50">
        <v>22</v>
      </c>
      <c r="F50">
        <v>76</v>
      </c>
      <c r="G50" t="s">
        <v>730</v>
      </c>
      <c r="H50" s="2">
        <v>0.52629999999999999</v>
      </c>
      <c r="I50" s="2">
        <v>0.65590000000000004</v>
      </c>
      <c r="J50" t="s">
        <v>731</v>
      </c>
      <c r="K50">
        <v>115.9988</v>
      </c>
      <c r="L50">
        <v>1</v>
      </c>
      <c r="M50">
        <v>1</v>
      </c>
      <c r="N50" t="str">
        <f t="shared" si="0"/>
        <v>2021</v>
      </c>
    </row>
    <row r="51" spans="1:14" hidden="1" x14ac:dyDescent="0.3">
      <c r="A51" t="s">
        <v>145</v>
      </c>
      <c r="B51" t="s">
        <v>146</v>
      </c>
      <c r="C51" t="s">
        <v>732</v>
      </c>
      <c r="D51" t="s">
        <v>147</v>
      </c>
      <c r="E51">
        <v>575</v>
      </c>
      <c r="F51">
        <v>837</v>
      </c>
      <c r="G51" t="s">
        <v>733</v>
      </c>
      <c r="H51" s="2">
        <v>1.05</v>
      </c>
      <c r="I51" s="2">
        <v>1.0872999999999999</v>
      </c>
      <c r="J51" t="s">
        <v>734</v>
      </c>
      <c r="K51">
        <v>1715.85</v>
      </c>
      <c r="L51">
        <v>1</v>
      </c>
      <c r="M51">
        <v>1</v>
      </c>
      <c r="N51" t="str">
        <f t="shared" si="0"/>
        <v>2021</v>
      </c>
    </row>
    <row r="52" spans="1:14" hidden="1" x14ac:dyDescent="0.3">
      <c r="A52" t="s">
        <v>148</v>
      </c>
      <c r="B52" t="s">
        <v>146</v>
      </c>
      <c r="C52" t="s">
        <v>735</v>
      </c>
      <c r="D52" t="s">
        <v>149</v>
      </c>
      <c r="E52">
        <v>615</v>
      </c>
      <c r="F52">
        <v>900</v>
      </c>
      <c r="G52" t="s">
        <v>736</v>
      </c>
      <c r="H52" s="2">
        <v>0.95</v>
      </c>
      <c r="I52" s="2">
        <v>0.76139999999999997</v>
      </c>
      <c r="J52" t="s">
        <v>737</v>
      </c>
      <c r="K52">
        <v>1755</v>
      </c>
      <c r="L52">
        <v>1</v>
      </c>
      <c r="M52">
        <v>1</v>
      </c>
      <c r="N52" t="str">
        <f t="shared" si="0"/>
        <v>2021</v>
      </c>
    </row>
    <row r="53" spans="1:14" hidden="1" x14ac:dyDescent="0.3">
      <c r="A53" t="s">
        <v>150</v>
      </c>
      <c r="B53" t="s">
        <v>151</v>
      </c>
      <c r="C53" t="s">
        <v>669</v>
      </c>
      <c r="D53" t="s">
        <v>152</v>
      </c>
      <c r="E53">
        <v>35</v>
      </c>
      <c r="F53">
        <v>296</v>
      </c>
      <c r="G53" t="s">
        <v>738</v>
      </c>
      <c r="H53" s="2">
        <v>0.18240000000000001</v>
      </c>
      <c r="I53" s="2">
        <v>0.1593</v>
      </c>
      <c r="J53" t="s">
        <v>739</v>
      </c>
      <c r="K53">
        <v>349.99040000000002</v>
      </c>
      <c r="L53">
        <v>1</v>
      </c>
      <c r="M53">
        <v>1</v>
      </c>
      <c r="N53" t="str">
        <f t="shared" si="0"/>
        <v>2021</v>
      </c>
    </row>
    <row r="54" spans="1:14" hidden="1" x14ac:dyDescent="0.3">
      <c r="A54" t="s">
        <v>153</v>
      </c>
      <c r="B54" t="s">
        <v>154</v>
      </c>
      <c r="C54" t="s">
        <v>740</v>
      </c>
      <c r="D54" t="s">
        <v>155</v>
      </c>
      <c r="E54">
        <v>75</v>
      </c>
      <c r="F54">
        <v>825</v>
      </c>
      <c r="G54" t="s">
        <v>741</v>
      </c>
      <c r="H54" s="2">
        <v>0.223</v>
      </c>
      <c r="I54" s="2">
        <v>0.2084</v>
      </c>
      <c r="J54" t="s">
        <v>742</v>
      </c>
      <c r="K54">
        <v>1008.975</v>
      </c>
      <c r="L54">
        <v>1</v>
      </c>
      <c r="M54">
        <v>1</v>
      </c>
      <c r="N54" t="str">
        <f t="shared" si="0"/>
        <v>2021</v>
      </c>
    </row>
    <row r="55" spans="1:14" hidden="1" x14ac:dyDescent="0.3">
      <c r="A55" t="s">
        <v>156</v>
      </c>
      <c r="B55" t="s">
        <v>154</v>
      </c>
      <c r="C55" t="s">
        <v>743</v>
      </c>
      <c r="D55" t="s">
        <v>157</v>
      </c>
      <c r="E55">
        <v>80</v>
      </c>
      <c r="F55">
        <v>428</v>
      </c>
      <c r="G55" t="s">
        <v>744</v>
      </c>
      <c r="H55" s="2">
        <v>0.28499999999999998</v>
      </c>
      <c r="I55" s="2">
        <v>0.42499999999999999</v>
      </c>
      <c r="J55" t="s">
        <v>745</v>
      </c>
      <c r="K55">
        <v>549.98</v>
      </c>
      <c r="L55">
        <v>1</v>
      </c>
      <c r="M55">
        <v>1</v>
      </c>
      <c r="N55" t="str">
        <f t="shared" si="0"/>
        <v>2021</v>
      </c>
    </row>
    <row r="56" spans="1:14" hidden="1" x14ac:dyDescent="0.3">
      <c r="A56" t="s">
        <v>158</v>
      </c>
      <c r="B56" t="s">
        <v>159</v>
      </c>
      <c r="C56" t="s">
        <v>746</v>
      </c>
      <c r="D56" t="s">
        <v>160</v>
      </c>
      <c r="E56">
        <v>130</v>
      </c>
      <c r="F56">
        <v>306</v>
      </c>
      <c r="G56" t="s">
        <v>747</v>
      </c>
      <c r="H56" s="2">
        <v>0.24179999999999999</v>
      </c>
      <c r="I56" s="2">
        <v>0.22919999999999999</v>
      </c>
      <c r="J56" t="s">
        <v>14</v>
      </c>
      <c r="K56">
        <v>379.99079999999998</v>
      </c>
      <c r="L56">
        <v>1</v>
      </c>
      <c r="M56">
        <v>1</v>
      </c>
      <c r="N56" t="str">
        <f t="shared" si="0"/>
        <v>2021</v>
      </c>
    </row>
    <row r="57" spans="1:14" hidden="1" x14ac:dyDescent="0.3">
      <c r="A57" t="s">
        <v>161</v>
      </c>
      <c r="B57" t="s">
        <v>159</v>
      </c>
      <c r="C57" t="s">
        <v>748</v>
      </c>
      <c r="D57" t="s">
        <v>162</v>
      </c>
      <c r="E57">
        <v>3</v>
      </c>
      <c r="F57">
        <v>291</v>
      </c>
      <c r="G57" t="s">
        <v>749</v>
      </c>
      <c r="H57" s="2">
        <v>3.44E-2</v>
      </c>
      <c r="I57" s="2">
        <v>0.24690000000000001</v>
      </c>
      <c r="J57" t="s">
        <v>750</v>
      </c>
      <c r="K57">
        <v>301.0104</v>
      </c>
      <c r="L57">
        <v>1</v>
      </c>
      <c r="M57">
        <v>1</v>
      </c>
      <c r="N57" t="str">
        <f t="shared" si="0"/>
        <v>2021</v>
      </c>
    </row>
    <row r="58" spans="1:14" hidden="1" x14ac:dyDescent="0.3">
      <c r="A58" t="s">
        <v>163</v>
      </c>
      <c r="B58" t="s">
        <v>164</v>
      </c>
      <c r="C58" t="s">
        <v>751</v>
      </c>
      <c r="D58" t="s">
        <v>165</v>
      </c>
      <c r="E58">
        <v>-5</v>
      </c>
      <c r="F58">
        <v>87</v>
      </c>
      <c r="G58" t="s">
        <v>752</v>
      </c>
      <c r="H58" s="2">
        <v>-0.15</v>
      </c>
      <c r="I58" s="2">
        <v>-0.13450000000000001</v>
      </c>
      <c r="J58" t="s">
        <v>753</v>
      </c>
      <c r="K58">
        <v>73.95</v>
      </c>
      <c r="L58">
        <v>-1</v>
      </c>
      <c r="M58">
        <v>-1</v>
      </c>
      <c r="N58" t="str">
        <f t="shared" si="0"/>
        <v>2021</v>
      </c>
    </row>
    <row r="59" spans="1:14" hidden="1" x14ac:dyDescent="0.3">
      <c r="A59" t="s">
        <v>166</v>
      </c>
      <c r="B59" t="s">
        <v>164</v>
      </c>
      <c r="C59" t="s">
        <v>754</v>
      </c>
      <c r="D59" t="s">
        <v>167</v>
      </c>
      <c r="E59">
        <v>-10</v>
      </c>
      <c r="F59">
        <v>305</v>
      </c>
      <c r="G59" t="s">
        <v>755</v>
      </c>
      <c r="H59" s="2">
        <v>-4.2599999999999999E-2</v>
      </c>
      <c r="I59" s="2">
        <v>-8.9200000000000002E-2</v>
      </c>
      <c r="J59" t="s">
        <v>756</v>
      </c>
      <c r="K59">
        <v>292.00700000000001</v>
      </c>
      <c r="L59">
        <v>-1</v>
      </c>
      <c r="M59">
        <v>-1</v>
      </c>
      <c r="N59" t="str">
        <f t="shared" si="0"/>
        <v>2021</v>
      </c>
    </row>
    <row r="60" spans="1:14" hidden="1" x14ac:dyDescent="0.3">
      <c r="A60" t="s">
        <v>168</v>
      </c>
      <c r="B60" t="s">
        <v>169</v>
      </c>
      <c r="C60" t="s">
        <v>757</v>
      </c>
      <c r="D60" t="s">
        <v>170</v>
      </c>
      <c r="E60">
        <v>740</v>
      </c>
      <c r="F60">
        <v>1101</v>
      </c>
      <c r="G60" t="s">
        <v>758</v>
      </c>
      <c r="H60" s="2">
        <v>0.80740000000000001</v>
      </c>
      <c r="I60" s="2">
        <v>0.44600000000000001</v>
      </c>
      <c r="J60" t="s">
        <v>759</v>
      </c>
      <c r="K60">
        <v>1989.9474</v>
      </c>
      <c r="L60">
        <v>1</v>
      </c>
      <c r="M60">
        <v>1</v>
      </c>
      <c r="N60" t="str">
        <f t="shared" si="0"/>
        <v>2021</v>
      </c>
    </row>
    <row r="61" spans="1:14" hidden="1" x14ac:dyDescent="0.3">
      <c r="A61" t="s">
        <v>171</v>
      </c>
      <c r="B61" t="s">
        <v>172</v>
      </c>
      <c r="C61" t="s">
        <v>617</v>
      </c>
      <c r="D61" t="s">
        <v>173</v>
      </c>
      <c r="E61">
        <v>40</v>
      </c>
      <c r="F61">
        <v>130</v>
      </c>
      <c r="G61" t="s">
        <v>760</v>
      </c>
      <c r="H61" s="2">
        <v>0.19620000000000001</v>
      </c>
      <c r="I61" s="2">
        <v>0.26619999999999999</v>
      </c>
      <c r="J61" t="s">
        <v>761</v>
      </c>
      <c r="K61">
        <v>155.506</v>
      </c>
      <c r="L61">
        <v>1</v>
      </c>
      <c r="M61">
        <v>1</v>
      </c>
      <c r="N61" t="str">
        <f t="shared" si="0"/>
        <v>2021</v>
      </c>
    </row>
    <row r="62" spans="1:14" hidden="1" x14ac:dyDescent="0.3">
      <c r="A62" t="s">
        <v>174</v>
      </c>
      <c r="B62" t="s">
        <v>172</v>
      </c>
      <c r="C62" t="s">
        <v>762</v>
      </c>
      <c r="D62" t="s">
        <v>175</v>
      </c>
      <c r="E62">
        <v>30</v>
      </c>
      <c r="F62">
        <v>1490</v>
      </c>
      <c r="G62" t="s">
        <v>763</v>
      </c>
      <c r="H62" s="2">
        <v>-8.7900000000000006E-2</v>
      </c>
      <c r="I62" s="2">
        <v>-3.6499999999999998E-2</v>
      </c>
      <c r="J62" t="s">
        <v>764</v>
      </c>
      <c r="K62">
        <v>1359.029</v>
      </c>
      <c r="L62">
        <v>1</v>
      </c>
      <c r="M62">
        <v>-1</v>
      </c>
      <c r="N62" t="str">
        <f t="shared" si="0"/>
        <v>2021</v>
      </c>
    </row>
    <row r="63" spans="1:14" hidden="1" x14ac:dyDescent="0.3">
      <c r="A63" t="s">
        <v>176</v>
      </c>
      <c r="B63" t="s">
        <v>177</v>
      </c>
      <c r="C63" t="s">
        <v>765</v>
      </c>
      <c r="D63" t="s">
        <v>178</v>
      </c>
      <c r="E63">
        <v>60</v>
      </c>
      <c r="F63">
        <v>555</v>
      </c>
      <c r="G63" t="s">
        <v>766</v>
      </c>
      <c r="H63" s="2">
        <v>-6.3100000000000003E-2</v>
      </c>
      <c r="I63" s="2">
        <v>-5.0799999999999998E-2</v>
      </c>
      <c r="J63" t="s">
        <v>767</v>
      </c>
      <c r="K63">
        <v>519.97950000000003</v>
      </c>
      <c r="L63">
        <v>1</v>
      </c>
      <c r="M63">
        <v>-1</v>
      </c>
      <c r="N63" t="str">
        <f t="shared" si="0"/>
        <v>2021</v>
      </c>
    </row>
    <row r="64" spans="1:14" hidden="1" x14ac:dyDescent="0.3">
      <c r="A64" t="s">
        <v>179</v>
      </c>
      <c r="B64" t="s">
        <v>180</v>
      </c>
      <c r="C64" t="s">
        <v>768</v>
      </c>
      <c r="D64" t="s">
        <v>181</v>
      </c>
      <c r="E64">
        <v>130</v>
      </c>
      <c r="F64">
        <v>187</v>
      </c>
      <c r="G64" t="s">
        <v>769</v>
      </c>
      <c r="H64" s="2">
        <v>0.13500000000000001</v>
      </c>
      <c r="I64" s="2">
        <v>0.1147</v>
      </c>
      <c r="J64" t="s">
        <v>14</v>
      </c>
      <c r="K64">
        <v>212.245</v>
      </c>
      <c r="L64">
        <v>1</v>
      </c>
      <c r="M64">
        <v>1</v>
      </c>
      <c r="N64" t="str">
        <f t="shared" si="0"/>
        <v>2021</v>
      </c>
    </row>
    <row r="65" spans="1:14" hidden="1" x14ac:dyDescent="0.3">
      <c r="A65" t="s">
        <v>182</v>
      </c>
      <c r="B65" t="s">
        <v>183</v>
      </c>
      <c r="C65" t="s">
        <v>770</v>
      </c>
      <c r="D65" t="s">
        <v>184</v>
      </c>
      <c r="E65">
        <v>580</v>
      </c>
      <c r="F65">
        <v>575</v>
      </c>
      <c r="G65" t="s">
        <v>771</v>
      </c>
      <c r="H65" s="2">
        <v>0.82609999999999995</v>
      </c>
      <c r="I65" s="2">
        <v>0.88260000000000005</v>
      </c>
      <c r="J65" t="s">
        <v>772</v>
      </c>
      <c r="K65">
        <v>1050.0074999999999</v>
      </c>
      <c r="L65">
        <v>1</v>
      </c>
      <c r="M65">
        <v>1</v>
      </c>
      <c r="N65" t="str">
        <f t="shared" si="0"/>
        <v>2021</v>
      </c>
    </row>
    <row r="66" spans="1:14" hidden="1" x14ac:dyDescent="0.3">
      <c r="A66" t="s">
        <v>185</v>
      </c>
      <c r="B66" t="s">
        <v>186</v>
      </c>
      <c r="C66" t="s">
        <v>624</v>
      </c>
      <c r="D66" t="s">
        <v>187</v>
      </c>
      <c r="E66">
        <v>270</v>
      </c>
      <c r="F66">
        <v>627</v>
      </c>
      <c r="G66" t="s">
        <v>773</v>
      </c>
      <c r="H66" s="2">
        <v>0.43540000000000001</v>
      </c>
      <c r="I66" s="2">
        <v>0.29549999999999998</v>
      </c>
      <c r="J66" t="s">
        <v>14</v>
      </c>
      <c r="K66">
        <v>899.99580000000003</v>
      </c>
      <c r="L66">
        <v>1</v>
      </c>
      <c r="M66">
        <v>1</v>
      </c>
      <c r="N66" t="str">
        <f t="shared" si="0"/>
        <v>2021</v>
      </c>
    </row>
    <row r="67" spans="1:14" hidden="1" x14ac:dyDescent="0.3">
      <c r="A67" t="s">
        <v>188</v>
      </c>
      <c r="B67" t="s">
        <v>189</v>
      </c>
      <c r="C67" t="s">
        <v>190</v>
      </c>
      <c r="D67" t="s">
        <v>191</v>
      </c>
      <c r="E67">
        <v>70</v>
      </c>
      <c r="F67">
        <v>400</v>
      </c>
      <c r="G67" t="s">
        <v>774</v>
      </c>
      <c r="H67" s="2">
        <v>0.53749999999999998</v>
      </c>
      <c r="I67" s="2">
        <v>0.66659999999999997</v>
      </c>
      <c r="J67" t="s">
        <v>14</v>
      </c>
      <c r="K67">
        <v>615</v>
      </c>
      <c r="L67">
        <v>1</v>
      </c>
      <c r="M67">
        <v>1</v>
      </c>
      <c r="N67" t="str">
        <f t="shared" ref="N67:N130" si="1">RIGHT(B67,4)</f>
        <v>2021</v>
      </c>
    </row>
    <row r="68" spans="1:14" hidden="1" x14ac:dyDescent="0.3">
      <c r="A68" t="s">
        <v>192</v>
      </c>
      <c r="B68" t="s">
        <v>193</v>
      </c>
      <c r="C68" t="s">
        <v>775</v>
      </c>
      <c r="D68" t="s">
        <v>194</v>
      </c>
      <c r="E68">
        <v>10</v>
      </c>
      <c r="F68">
        <v>94</v>
      </c>
      <c r="G68" t="s">
        <v>776</v>
      </c>
      <c r="H68" s="2">
        <v>0.15959999999999999</v>
      </c>
      <c r="I68" s="2">
        <v>0.29149999999999998</v>
      </c>
      <c r="J68" t="s">
        <v>14</v>
      </c>
      <c r="K68">
        <v>109.00239999999999</v>
      </c>
      <c r="L68">
        <v>1</v>
      </c>
      <c r="M68">
        <v>1</v>
      </c>
      <c r="N68" t="str">
        <f t="shared" si="1"/>
        <v>2021</v>
      </c>
    </row>
    <row r="69" spans="1:14" hidden="1" x14ac:dyDescent="0.3">
      <c r="A69" t="s">
        <v>195</v>
      </c>
      <c r="B69" t="s">
        <v>196</v>
      </c>
      <c r="C69" t="s">
        <v>777</v>
      </c>
      <c r="D69" t="s">
        <v>197</v>
      </c>
      <c r="E69">
        <v>35</v>
      </c>
      <c r="F69">
        <v>385</v>
      </c>
      <c r="G69" t="s">
        <v>778</v>
      </c>
      <c r="H69" s="2">
        <v>0.21299999999999999</v>
      </c>
      <c r="I69" s="2">
        <v>0.1583</v>
      </c>
      <c r="J69" t="s">
        <v>779</v>
      </c>
      <c r="K69">
        <v>467.005</v>
      </c>
      <c r="L69">
        <v>1</v>
      </c>
      <c r="M69">
        <v>1</v>
      </c>
      <c r="N69" t="str">
        <f t="shared" si="1"/>
        <v>2021</v>
      </c>
    </row>
    <row r="70" spans="1:14" hidden="1" x14ac:dyDescent="0.3">
      <c r="A70" t="s">
        <v>198</v>
      </c>
      <c r="B70" t="s">
        <v>199</v>
      </c>
      <c r="C70" t="s">
        <v>780</v>
      </c>
      <c r="D70" t="s">
        <v>200</v>
      </c>
      <c r="E70">
        <v>120</v>
      </c>
      <c r="F70">
        <v>518</v>
      </c>
      <c r="G70" t="s">
        <v>781</v>
      </c>
      <c r="H70" s="2">
        <v>0.18179999999999999</v>
      </c>
      <c r="I70" s="2">
        <v>1.84E-2</v>
      </c>
      <c r="J70" t="s">
        <v>782</v>
      </c>
      <c r="K70">
        <v>612.17240000000004</v>
      </c>
      <c r="L70">
        <v>1</v>
      </c>
      <c r="M70">
        <v>1</v>
      </c>
      <c r="N70" t="str">
        <f t="shared" si="1"/>
        <v>2021</v>
      </c>
    </row>
    <row r="71" spans="1:14" hidden="1" x14ac:dyDescent="0.3">
      <c r="A71" t="s">
        <v>201</v>
      </c>
      <c r="B71" t="s">
        <v>202</v>
      </c>
      <c r="C71" t="s">
        <v>783</v>
      </c>
      <c r="D71" t="s">
        <v>203</v>
      </c>
      <c r="E71">
        <v>750</v>
      </c>
      <c r="F71">
        <v>1490</v>
      </c>
      <c r="G71" t="s">
        <v>784</v>
      </c>
      <c r="H71" s="2">
        <v>0.74970000000000003</v>
      </c>
      <c r="I71" s="2">
        <v>1.0931</v>
      </c>
      <c r="J71" t="s">
        <v>785</v>
      </c>
      <c r="K71">
        <v>2607.0529999999999</v>
      </c>
      <c r="L71">
        <v>1</v>
      </c>
      <c r="M71">
        <v>1</v>
      </c>
      <c r="N71" t="str">
        <f t="shared" si="1"/>
        <v>2021</v>
      </c>
    </row>
    <row r="72" spans="1:14" hidden="1" x14ac:dyDescent="0.3">
      <c r="A72" t="s">
        <v>204</v>
      </c>
      <c r="B72" t="s">
        <v>205</v>
      </c>
      <c r="C72" t="s">
        <v>786</v>
      </c>
      <c r="D72" t="s">
        <v>206</v>
      </c>
      <c r="E72">
        <v>0</v>
      </c>
      <c r="F72">
        <v>26</v>
      </c>
      <c r="G72" t="s">
        <v>787</v>
      </c>
      <c r="H72" s="2">
        <v>-3.85E-2</v>
      </c>
      <c r="I72" s="2">
        <v>-4.4200000000000003E-2</v>
      </c>
      <c r="J72" t="s">
        <v>788</v>
      </c>
      <c r="K72">
        <v>24.998999999999999</v>
      </c>
      <c r="L72">
        <v>0</v>
      </c>
      <c r="M72">
        <v>-1</v>
      </c>
      <c r="N72" t="str">
        <f t="shared" si="1"/>
        <v>2021</v>
      </c>
    </row>
    <row r="73" spans="1:14" hidden="1" x14ac:dyDescent="0.3">
      <c r="A73" t="s">
        <v>207</v>
      </c>
      <c r="B73" t="s">
        <v>208</v>
      </c>
      <c r="C73" t="s">
        <v>789</v>
      </c>
      <c r="D73" t="s">
        <v>209</v>
      </c>
      <c r="E73">
        <v>175</v>
      </c>
      <c r="F73">
        <v>315</v>
      </c>
      <c r="G73" t="s">
        <v>790</v>
      </c>
      <c r="H73" s="2">
        <v>0.36509999999999998</v>
      </c>
      <c r="I73" s="2">
        <v>0.29320000000000002</v>
      </c>
      <c r="J73" t="s">
        <v>791</v>
      </c>
      <c r="K73">
        <v>430.00649999999996</v>
      </c>
      <c r="L73">
        <v>1</v>
      </c>
      <c r="M73">
        <v>1</v>
      </c>
      <c r="N73" t="str">
        <f t="shared" si="1"/>
        <v>2021</v>
      </c>
    </row>
    <row r="74" spans="1:14" hidden="1" x14ac:dyDescent="0.3">
      <c r="A74" t="s">
        <v>210</v>
      </c>
      <c r="B74" t="s">
        <v>211</v>
      </c>
      <c r="C74" t="s">
        <v>792</v>
      </c>
      <c r="D74" t="s">
        <v>212</v>
      </c>
      <c r="E74">
        <v>4</v>
      </c>
      <c r="F74">
        <v>247</v>
      </c>
      <c r="G74" t="s">
        <v>793</v>
      </c>
      <c r="H74" s="2">
        <v>-1.21E-2</v>
      </c>
      <c r="I74" s="2">
        <v>-7.7700000000000005E-2</v>
      </c>
      <c r="J74" t="s">
        <v>794</v>
      </c>
      <c r="K74">
        <v>244.01130000000001</v>
      </c>
      <c r="L74">
        <v>1</v>
      </c>
      <c r="M74">
        <v>-1</v>
      </c>
      <c r="N74" t="str">
        <f t="shared" si="1"/>
        <v>2022</v>
      </c>
    </row>
    <row r="75" spans="1:14" hidden="1" x14ac:dyDescent="0.3">
      <c r="A75" t="s">
        <v>213</v>
      </c>
      <c r="B75" t="s">
        <v>214</v>
      </c>
      <c r="C75" t="s">
        <v>795</v>
      </c>
      <c r="D75" t="s">
        <v>215</v>
      </c>
      <c r="E75">
        <v>-3</v>
      </c>
      <c r="F75">
        <v>366</v>
      </c>
      <c r="G75" t="s">
        <v>796</v>
      </c>
      <c r="H75" s="2">
        <v>2.7000000000000001E-3</v>
      </c>
      <c r="I75" s="2">
        <v>-5.4999999999999997E-3</v>
      </c>
      <c r="J75" t="s">
        <v>797</v>
      </c>
      <c r="K75">
        <v>366.98820000000001</v>
      </c>
      <c r="L75">
        <v>-1</v>
      </c>
      <c r="M75">
        <v>1</v>
      </c>
      <c r="N75" t="str">
        <f t="shared" si="1"/>
        <v>2022</v>
      </c>
    </row>
    <row r="76" spans="1:14" hidden="1" x14ac:dyDescent="0.3">
      <c r="A76" t="s">
        <v>216</v>
      </c>
      <c r="B76" t="s">
        <v>217</v>
      </c>
      <c r="C76" t="s">
        <v>798</v>
      </c>
      <c r="D76" t="s">
        <v>218</v>
      </c>
      <c r="E76">
        <v>-15</v>
      </c>
      <c r="F76">
        <v>506</v>
      </c>
      <c r="G76" t="s">
        <v>799</v>
      </c>
      <c r="H76" s="2">
        <v>-6.9199999999999998E-2</v>
      </c>
      <c r="I76" s="2">
        <v>-9.0800000000000006E-2</v>
      </c>
      <c r="J76" t="s">
        <v>800</v>
      </c>
      <c r="K76">
        <v>470.98480000000001</v>
      </c>
      <c r="L76">
        <v>-1</v>
      </c>
      <c r="M76">
        <v>-1</v>
      </c>
      <c r="N76" t="str">
        <f t="shared" si="1"/>
        <v>2022</v>
      </c>
    </row>
    <row r="77" spans="1:14" hidden="1" x14ac:dyDescent="0.3">
      <c r="A77" t="s">
        <v>219</v>
      </c>
      <c r="B77" t="s">
        <v>217</v>
      </c>
      <c r="C77" t="s">
        <v>801</v>
      </c>
      <c r="D77" t="s">
        <v>220</v>
      </c>
      <c r="E77">
        <v>3</v>
      </c>
      <c r="F77">
        <v>270</v>
      </c>
      <c r="G77" t="s">
        <v>802</v>
      </c>
      <c r="H77" s="2">
        <v>1.11E-2</v>
      </c>
      <c r="I77" s="2">
        <v>-0.19109999999999999</v>
      </c>
      <c r="J77" t="s">
        <v>803</v>
      </c>
      <c r="K77">
        <v>272.99700000000001</v>
      </c>
      <c r="L77">
        <v>1</v>
      </c>
      <c r="M77">
        <v>1</v>
      </c>
      <c r="N77" t="str">
        <f t="shared" si="1"/>
        <v>2022</v>
      </c>
    </row>
    <row r="78" spans="1:14" hidden="1" x14ac:dyDescent="0.3">
      <c r="A78" t="s">
        <v>221</v>
      </c>
      <c r="B78" t="s">
        <v>222</v>
      </c>
      <c r="C78" t="s">
        <v>804</v>
      </c>
      <c r="D78" t="s">
        <v>223</v>
      </c>
      <c r="E78">
        <v>-15</v>
      </c>
      <c r="F78">
        <v>357</v>
      </c>
      <c r="G78" t="s">
        <v>805</v>
      </c>
      <c r="H78" t="s">
        <v>1196</v>
      </c>
      <c r="I78" s="2">
        <v>-7.2400000000000006E-2</v>
      </c>
      <c r="J78" t="s">
        <v>806</v>
      </c>
      <c r="K78" t="s">
        <v>1234</v>
      </c>
      <c r="L78">
        <v>-1</v>
      </c>
      <c r="M78">
        <v>1</v>
      </c>
      <c r="N78" t="str">
        <f t="shared" si="1"/>
        <v>2022</v>
      </c>
    </row>
    <row r="79" spans="1:14" hidden="1" x14ac:dyDescent="0.3">
      <c r="A79" t="s">
        <v>224</v>
      </c>
      <c r="B79" t="s">
        <v>225</v>
      </c>
      <c r="C79" t="s">
        <v>807</v>
      </c>
      <c r="D79" t="s">
        <v>226</v>
      </c>
      <c r="E79">
        <v>41</v>
      </c>
      <c r="F79">
        <v>577</v>
      </c>
      <c r="G79" t="s">
        <v>808</v>
      </c>
      <c r="H79" s="2">
        <v>-3.5000000000000001E-3</v>
      </c>
      <c r="I79" s="2">
        <v>-6.4699999999999994E-2</v>
      </c>
      <c r="J79" t="s">
        <v>809</v>
      </c>
      <c r="K79">
        <v>574.98050000000001</v>
      </c>
      <c r="L79">
        <v>1</v>
      </c>
      <c r="M79">
        <v>-1</v>
      </c>
      <c r="N79" t="str">
        <f t="shared" si="1"/>
        <v>2022</v>
      </c>
    </row>
    <row r="80" spans="1:14" hidden="1" x14ac:dyDescent="0.3">
      <c r="A80" t="s">
        <v>227</v>
      </c>
      <c r="B80" t="s">
        <v>228</v>
      </c>
      <c r="C80" t="s">
        <v>810</v>
      </c>
      <c r="D80" t="s">
        <v>229</v>
      </c>
      <c r="E80">
        <v>38</v>
      </c>
      <c r="F80">
        <v>237</v>
      </c>
      <c r="G80" t="s">
        <v>811</v>
      </c>
      <c r="H80" s="2">
        <v>0.1226</v>
      </c>
      <c r="I80" s="2">
        <v>0.1241</v>
      </c>
      <c r="J80" t="s">
        <v>812</v>
      </c>
      <c r="K80">
        <v>266.05619999999999</v>
      </c>
      <c r="L80">
        <v>1</v>
      </c>
      <c r="M80">
        <v>1</v>
      </c>
      <c r="N80" t="str">
        <f t="shared" si="1"/>
        <v>2022</v>
      </c>
    </row>
    <row r="81" spans="1:14" hidden="1" x14ac:dyDescent="0.3">
      <c r="A81" t="s">
        <v>230</v>
      </c>
      <c r="B81" t="s">
        <v>231</v>
      </c>
      <c r="C81" t="s">
        <v>813</v>
      </c>
      <c r="D81" t="s">
        <v>232</v>
      </c>
      <c r="E81">
        <v>-5</v>
      </c>
      <c r="F81">
        <v>541</v>
      </c>
      <c r="G81" t="s">
        <v>814</v>
      </c>
      <c r="H81" s="2">
        <v>2.5899999999999999E-2</v>
      </c>
      <c r="I81" s="2">
        <v>3.1099999999999999E-2</v>
      </c>
      <c r="J81" t="s">
        <v>815</v>
      </c>
      <c r="K81">
        <v>555.01189999999997</v>
      </c>
      <c r="L81">
        <v>-1</v>
      </c>
      <c r="M81">
        <v>1</v>
      </c>
      <c r="N81" t="str">
        <f t="shared" si="1"/>
        <v>2022</v>
      </c>
    </row>
    <row r="82" spans="1:14" hidden="1" x14ac:dyDescent="0.3">
      <c r="A82" t="s">
        <v>233</v>
      </c>
      <c r="B82" t="s">
        <v>234</v>
      </c>
      <c r="C82" t="s">
        <v>816</v>
      </c>
      <c r="D82" t="s">
        <v>235</v>
      </c>
      <c r="E82">
        <v>-1</v>
      </c>
      <c r="F82">
        <v>65</v>
      </c>
      <c r="G82" t="s">
        <v>817</v>
      </c>
      <c r="H82" s="2">
        <v>-7.6899999999999996E-2</v>
      </c>
      <c r="I82" s="2">
        <v>-9.0800000000000006E-2</v>
      </c>
      <c r="J82" t="s">
        <v>818</v>
      </c>
      <c r="K82">
        <v>60.0015</v>
      </c>
      <c r="L82">
        <v>-1</v>
      </c>
      <c r="M82">
        <v>-1</v>
      </c>
      <c r="N82" t="str">
        <f t="shared" si="1"/>
        <v>2022</v>
      </c>
    </row>
    <row r="83" spans="1:14" hidden="1" x14ac:dyDescent="0.3">
      <c r="A83" t="s">
        <v>236</v>
      </c>
      <c r="B83" t="s">
        <v>237</v>
      </c>
      <c r="C83" t="s">
        <v>819</v>
      </c>
      <c r="D83" t="s">
        <v>238</v>
      </c>
      <c r="E83">
        <v>185</v>
      </c>
      <c r="F83">
        <v>587</v>
      </c>
      <c r="G83" t="s">
        <v>820</v>
      </c>
      <c r="H83" s="2">
        <v>0.32540000000000002</v>
      </c>
      <c r="I83" s="2">
        <v>0.17560000000000001</v>
      </c>
      <c r="J83" t="s">
        <v>821</v>
      </c>
      <c r="K83">
        <v>778.00980000000004</v>
      </c>
      <c r="L83">
        <v>1</v>
      </c>
      <c r="M83">
        <v>1</v>
      </c>
      <c r="N83" t="str">
        <f t="shared" si="1"/>
        <v>2022</v>
      </c>
    </row>
    <row r="84" spans="1:14" hidden="1" x14ac:dyDescent="0.3">
      <c r="A84" t="s">
        <v>239</v>
      </c>
      <c r="B84" t="s">
        <v>240</v>
      </c>
      <c r="C84" t="s">
        <v>822</v>
      </c>
      <c r="D84" t="s">
        <v>241</v>
      </c>
      <c r="E84">
        <v>127</v>
      </c>
      <c r="F84">
        <v>407</v>
      </c>
      <c r="G84" t="s">
        <v>823</v>
      </c>
      <c r="H84" s="2">
        <v>0.1057</v>
      </c>
      <c r="I84" s="2">
        <v>0.12570000000000001</v>
      </c>
      <c r="J84" t="s">
        <v>824</v>
      </c>
      <c r="K84">
        <v>450.01990000000001</v>
      </c>
      <c r="L84">
        <v>1</v>
      </c>
      <c r="M84">
        <v>1</v>
      </c>
      <c r="N84" t="str">
        <f t="shared" si="1"/>
        <v>2022</v>
      </c>
    </row>
    <row r="85" spans="1:14" hidden="1" x14ac:dyDescent="0.3">
      <c r="A85" t="s">
        <v>242</v>
      </c>
      <c r="B85" t="s">
        <v>240</v>
      </c>
      <c r="C85" t="s">
        <v>825</v>
      </c>
      <c r="D85" t="s">
        <v>243</v>
      </c>
      <c r="E85">
        <v>-2</v>
      </c>
      <c r="F85">
        <v>474</v>
      </c>
      <c r="G85" t="s">
        <v>826</v>
      </c>
      <c r="H85" s="2">
        <v>-1.9199999999999998E-2</v>
      </c>
      <c r="I85" s="2">
        <v>3.3799999999999997E-2</v>
      </c>
      <c r="J85" t="s">
        <v>827</v>
      </c>
      <c r="K85">
        <v>464.89920000000001</v>
      </c>
      <c r="L85">
        <v>-1</v>
      </c>
      <c r="M85">
        <v>-1</v>
      </c>
      <c r="N85" t="str">
        <f t="shared" si="1"/>
        <v>2022</v>
      </c>
    </row>
    <row r="86" spans="1:14" hidden="1" x14ac:dyDescent="0.3">
      <c r="A86" t="s">
        <v>244</v>
      </c>
      <c r="B86" t="s">
        <v>245</v>
      </c>
      <c r="C86" t="s">
        <v>828</v>
      </c>
      <c r="D86" t="s">
        <v>246</v>
      </c>
      <c r="E86">
        <v>30</v>
      </c>
      <c r="F86">
        <v>336</v>
      </c>
      <c r="G86" t="s">
        <v>829</v>
      </c>
      <c r="H86" s="2">
        <v>0.19350000000000001</v>
      </c>
      <c r="I86" s="2">
        <v>0.23710000000000001</v>
      </c>
      <c r="J86" t="s">
        <v>830</v>
      </c>
      <c r="K86">
        <v>401.01600000000002</v>
      </c>
      <c r="L86">
        <v>1</v>
      </c>
      <c r="M86">
        <v>1</v>
      </c>
      <c r="N86" t="str">
        <f t="shared" si="1"/>
        <v>2022</v>
      </c>
    </row>
    <row r="87" spans="1:14" hidden="1" x14ac:dyDescent="0.3">
      <c r="A87" t="s">
        <v>247</v>
      </c>
      <c r="B87" t="s">
        <v>245</v>
      </c>
      <c r="C87" t="s">
        <v>831</v>
      </c>
      <c r="D87" t="s">
        <v>248</v>
      </c>
      <c r="E87">
        <v>21</v>
      </c>
      <c r="F87">
        <v>300</v>
      </c>
      <c r="G87" t="s">
        <v>832</v>
      </c>
      <c r="H87" s="2">
        <v>7.5999999999999998E-2</v>
      </c>
      <c r="I87" s="2">
        <v>5.8200000000000002E-2</v>
      </c>
      <c r="J87" t="s">
        <v>833</v>
      </c>
      <c r="K87">
        <v>322.8</v>
      </c>
      <c r="L87">
        <v>1</v>
      </c>
      <c r="M87">
        <v>1</v>
      </c>
      <c r="N87" t="str">
        <f t="shared" si="1"/>
        <v>2022</v>
      </c>
    </row>
    <row r="88" spans="1:14" hidden="1" x14ac:dyDescent="0.3">
      <c r="A88" t="s">
        <v>249</v>
      </c>
      <c r="B88" t="s">
        <v>250</v>
      </c>
      <c r="C88" t="s">
        <v>834</v>
      </c>
      <c r="D88" t="s">
        <v>251</v>
      </c>
      <c r="E88">
        <v>-4</v>
      </c>
      <c r="F88">
        <v>368</v>
      </c>
      <c r="G88" t="s">
        <v>835</v>
      </c>
      <c r="H88" s="2">
        <v>-2.3099999999999999E-2</v>
      </c>
      <c r="I88" s="2">
        <v>-0.1171</v>
      </c>
      <c r="J88" t="s">
        <v>836</v>
      </c>
      <c r="K88">
        <v>359.49919999999997</v>
      </c>
      <c r="L88">
        <v>-1</v>
      </c>
      <c r="M88">
        <v>-1</v>
      </c>
      <c r="N88" t="str">
        <f t="shared" si="1"/>
        <v>2022</v>
      </c>
    </row>
    <row r="89" spans="1:14" hidden="1" x14ac:dyDescent="0.3">
      <c r="A89" t="s">
        <v>252</v>
      </c>
      <c r="B89" t="s">
        <v>253</v>
      </c>
      <c r="C89" t="s">
        <v>726</v>
      </c>
      <c r="D89" t="s">
        <v>254</v>
      </c>
      <c r="E89">
        <v>75</v>
      </c>
      <c r="F89">
        <v>207</v>
      </c>
      <c r="G89" t="s">
        <v>837</v>
      </c>
      <c r="H89" s="2">
        <v>0.38650000000000001</v>
      </c>
      <c r="I89" s="2">
        <v>0.49180000000000001</v>
      </c>
      <c r="J89" t="s">
        <v>838</v>
      </c>
      <c r="K89">
        <v>287.00549999999998</v>
      </c>
      <c r="L89">
        <v>1</v>
      </c>
      <c r="M89">
        <v>1</v>
      </c>
      <c r="N89" t="str">
        <f t="shared" si="1"/>
        <v>2022</v>
      </c>
    </row>
    <row r="90" spans="1:14" hidden="1" x14ac:dyDescent="0.3">
      <c r="A90" t="s">
        <v>255</v>
      </c>
      <c r="B90" t="s">
        <v>256</v>
      </c>
      <c r="C90" t="s">
        <v>839</v>
      </c>
      <c r="D90" t="s">
        <v>232</v>
      </c>
      <c r="E90">
        <v>-1</v>
      </c>
      <c r="F90">
        <v>80</v>
      </c>
      <c r="G90" t="s">
        <v>840</v>
      </c>
      <c r="H90" s="2">
        <v>5.62E-2</v>
      </c>
      <c r="I90" s="2">
        <v>0.16689999999999999</v>
      </c>
      <c r="J90" t="s">
        <v>841</v>
      </c>
      <c r="K90">
        <v>84.495999999999995</v>
      </c>
      <c r="L90">
        <v>-1</v>
      </c>
      <c r="M90">
        <v>1</v>
      </c>
      <c r="N90" t="str">
        <f t="shared" si="1"/>
        <v>2022</v>
      </c>
    </row>
    <row r="91" spans="1:14" hidden="1" x14ac:dyDescent="0.3">
      <c r="A91" t="s">
        <v>257</v>
      </c>
      <c r="B91" t="s">
        <v>258</v>
      </c>
      <c r="C91" t="s">
        <v>726</v>
      </c>
      <c r="D91" t="s">
        <v>259</v>
      </c>
      <c r="E91">
        <v>30</v>
      </c>
      <c r="F91">
        <v>59</v>
      </c>
      <c r="G91" t="s">
        <v>842</v>
      </c>
      <c r="H91" s="2">
        <v>0.52539999999999998</v>
      </c>
      <c r="I91" s="2">
        <v>0.43219999999999997</v>
      </c>
      <c r="J91" t="s">
        <v>843</v>
      </c>
      <c r="K91">
        <v>89.998599999999996</v>
      </c>
      <c r="L91">
        <v>1</v>
      </c>
      <c r="M91">
        <v>1</v>
      </c>
      <c r="N91" t="str">
        <f t="shared" si="1"/>
        <v>2022</v>
      </c>
    </row>
    <row r="92" spans="1:14" hidden="1" x14ac:dyDescent="0.3">
      <c r="A92" t="s">
        <v>260</v>
      </c>
      <c r="B92" t="s">
        <v>261</v>
      </c>
      <c r="C92" t="s">
        <v>844</v>
      </c>
      <c r="D92" t="s">
        <v>262</v>
      </c>
      <c r="E92">
        <v>125</v>
      </c>
      <c r="F92">
        <v>330</v>
      </c>
      <c r="G92" t="s">
        <v>845</v>
      </c>
      <c r="H92" s="2">
        <v>0.36359999999999998</v>
      </c>
      <c r="I92" s="2">
        <v>0.47420000000000001</v>
      </c>
      <c r="J92" t="s">
        <v>846</v>
      </c>
      <c r="K92">
        <v>449.988</v>
      </c>
      <c r="L92">
        <v>1</v>
      </c>
      <c r="M92">
        <v>1</v>
      </c>
      <c r="N92" t="str">
        <f t="shared" si="1"/>
        <v>2022</v>
      </c>
    </row>
    <row r="93" spans="1:14" hidden="1" x14ac:dyDescent="0.3">
      <c r="A93" t="s">
        <v>263</v>
      </c>
      <c r="B93" t="s">
        <v>264</v>
      </c>
      <c r="C93" t="s">
        <v>847</v>
      </c>
      <c r="D93" t="s">
        <v>265</v>
      </c>
      <c r="E93">
        <v>14</v>
      </c>
      <c r="F93">
        <v>525</v>
      </c>
      <c r="G93" t="s">
        <v>848</v>
      </c>
      <c r="H93" s="2">
        <v>-2.86E-2</v>
      </c>
      <c r="I93" s="2">
        <v>-2.92E-2</v>
      </c>
      <c r="J93" t="s">
        <v>849</v>
      </c>
      <c r="K93">
        <v>509.98500000000001</v>
      </c>
      <c r="L93">
        <v>1</v>
      </c>
      <c r="M93">
        <v>-1</v>
      </c>
      <c r="N93" t="str">
        <f t="shared" si="1"/>
        <v>2022</v>
      </c>
    </row>
    <row r="94" spans="1:14" hidden="1" x14ac:dyDescent="0.3">
      <c r="A94" t="s">
        <v>266</v>
      </c>
      <c r="B94" t="s">
        <v>267</v>
      </c>
      <c r="C94" t="s">
        <v>850</v>
      </c>
      <c r="D94" t="s">
        <v>268</v>
      </c>
      <c r="E94">
        <v>148</v>
      </c>
      <c r="F94">
        <v>326</v>
      </c>
      <c r="G94" t="s">
        <v>851</v>
      </c>
      <c r="H94" s="2">
        <v>0.56040000000000001</v>
      </c>
      <c r="I94" s="2">
        <v>0.41920000000000002</v>
      </c>
      <c r="J94" t="s">
        <v>852</v>
      </c>
      <c r="K94">
        <v>508.69040000000001</v>
      </c>
      <c r="L94">
        <v>1</v>
      </c>
      <c r="M94">
        <v>1</v>
      </c>
      <c r="N94" t="str">
        <f t="shared" si="1"/>
        <v>2022</v>
      </c>
    </row>
    <row r="95" spans="1:14" hidden="1" x14ac:dyDescent="0.3">
      <c r="A95" t="s">
        <v>269</v>
      </c>
      <c r="B95" t="s">
        <v>270</v>
      </c>
      <c r="C95" t="s">
        <v>853</v>
      </c>
      <c r="D95" t="s">
        <v>271</v>
      </c>
      <c r="E95">
        <v>48</v>
      </c>
      <c r="F95">
        <v>220</v>
      </c>
      <c r="G95" t="s">
        <v>854</v>
      </c>
      <c r="H95" s="2">
        <v>0.19089999999999999</v>
      </c>
      <c r="I95" s="2">
        <v>0.42299999999999999</v>
      </c>
      <c r="J95" t="s">
        <v>855</v>
      </c>
      <c r="K95">
        <v>261.99799999999999</v>
      </c>
      <c r="L95">
        <v>1</v>
      </c>
      <c r="M95">
        <v>1</v>
      </c>
      <c r="N95" t="str">
        <f t="shared" si="1"/>
        <v>2022</v>
      </c>
    </row>
    <row r="96" spans="1:14" hidden="1" x14ac:dyDescent="0.3">
      <c r="A96" t="s">
        <v>272</v>
      </c>
      <c r="B96" t="s">
        <v>273</v>
      </c>
      <c r="C96" t="s">
        <v>856</v>
      </c>
      <c r="D96" t="s">
        <v>274</v>
      </c>
      <c r="E96">
        <v>55</v>
      </c>
      <c r="F96">
        <v>642</v>
      </c>
      <c r="G96" t="s">
        <v>857</v>
      </c>
      <c r="H96" s="2">
        <v>9.6600000000000005E-2</v>
      </c>
      <c r="I96" s="2">
        <v>0.2099</v>
      </c>
      <c r="J96" t="s">
        <v>858</v>
      </c>
      <c r="K96">
        <v>704.0172</v>
      </c>
      <c r="L96">
        <v>1</v>
      </c>
      <c r="M96">
        <v>1</v>
      </c>
      <c r="N96" t="str">
        <f t="shared" si="1"/>
        <v>2022</v>
      </c>
    </row>
    <row r="97" spans="1:14" hidden="1" x14ac:dyDescent="0.3">
      <c r="A97" t="s">
        <v>275</v>
      </c>
      <c r="B97" t="s">
        <v>276</v>
      </c>
      <c r="C97" t="s">
        <v>859</v>
      </c>
      <c r="D97" t="s">
        <v>277</v>
      </c>
      <c r="E97">
        <v>0</v>
      </c>
      <c r="F97">
        <v>256</v>
      </c>
      <c r="G97" t="s">
        <v>860</v>
      </c>
      <c r="H97" s="2">
        <v>5.4699999999999999E-2</v>
      </c>
      <c r="I97" s="2">
        <v>1.11E-2</v>
      </c>
      <c r="J97" t="s">
        <v>861</v>
      </c>
      <c r="K97">
        <v>270.00319999999999</v>
      </c>
      <c r="L97">
        <v>0</v>
      </c>
      <c r="M97">
        <v>1</v>
      </c>
      <c r="N97" t="str">
        <f t="shared" si="1"/>
        <v>2022</v>
      </c>
    </row>
    <row r="98" spans="1:14" hidden="1" x14ac:dyDescent="0.3">
      <c r="A98" t="s">
        <v>278</v>
      </c>
      <c r="B98" t="s">
        <v>279</v>
      </c>
      <c r="C98" t="s">
        <v>862</v>
      </c>
      <c r="D98" t="s">
        <v>280</v>
      </c>
      <c r="E98">
        <v>-5</v>
      </c>
      <c r="F98">
        <v>878</v>
      </c>
      <c r="G98" t="s">
        <v>863</v>
      </c>
      <c r="H98" s="2">
        <v>-5.4699999999999999E-2</v>
      </c>
      <c r="I98" s="2">
        <v>-8.5300000000000001E-2</v>
      </c>
      <c r="J98" t="s">
        <v>864</v>
      </c>
      <c r="K98">
        <v>829.97339999999997</v>
      </c>
      <c r="L98">
        <v>-1</v>
      </c>
      <c r="M98">
        <v>-1</v>
      </c>
      <c r="N98" t="str">
        <f t="shared" si="1"/>
        <v>2022</v>
      </c>
    </row>
    <row r="99" spans="1:14" hidden="1" x14ac:dyDescent="0.3">
      <c r="A99" t="s">
        <v>281</v>
      </c>
      <c r="B99" t="s">
        <v>282</v>
      </c>
      <c r="C99" t="s">
        <v>865</v>
      </c>
      <c r="D99" t="s">
        <v>283</v>
      </c>
      <c r="E99">
        <v>0</v>
      </c>
      <c r="F99">
        <v>42</v>
      </c>
      <c r="G99" t="s">
        <v>866</v>
      </c>
      <c r="H99" s="2">
        <v>4.7600000000000003E-2</v>
      </c>
      <c r="I99" s="2">
        <v>4.6399999999999997E-2</v>
      </c>
      <c r="J99" t="s">
        <v>867</v>
      </c>
      <c r="K99">
        <v>43.999200000000002</v>
      </c>
      <c r="L99">
        <v>0</v>
      </c>
      <c r="M99">
        <v>1</v>
      </c>
      <c r="N99" t="str">
        <f t="shared" si="1"/>
        <v>2022</v>
      </c>
    </row>
    <row r="100" spans="1:14" hidden="1" x14ac:dyDescent="0.3">
      <c r="A100" t="s">
        <v>284</v>
      </c>
      <c r="B100" t="s">
        <v>285</v>
      </c>
      <c r="C100" t="s">
        <v>868</v>
      </c>
      <c r="D100" t="s">
        <v>286</v>
      </c>
      <c r="E100">
        <v>-10</v>
      </c>
      <c r="F100">
        <v>487</v>
      </c>
      <c r="G100" t="s">
        <v>869</v>
      </c>
      <c r="H100" s="2">
        <v>1.6799999999999999E-2</v>
      </c>
      <c r="I100" s="2">
        <v>0.1032</v>
      </c>
      <c r="J100" t="s">
        <v>870</v>
      </c>
      <c r="K100">
        <v>495.1816</v>
      </c>
      <c r="L100">
        <v>-1</v>
      </c>
      <c r="M100">
        <v>1</v>
      </c>
      <c r="N100" t="str">
        <f t="shared" si="1"/>
        <v>2022</v>
      </c>
    </row>
    <row r="101" spans="1:14" hidden="1" x14ac:dyDescent="0.3">
      <c r="A101" t="s">
        <v>287</v>
      </c>
      <c r="B101" t="s">
        <v>285</v>
      </c>
      <c r="C101" t="s">
        <v>871</v>
      </c>
      <c r="D101" t="s">
        <v>288</v>
      </c>
      <c r="E101">
        <v>20</v>
      </c>
      <c r="F101">
        <v>326</v>
      </c>
      <c r="G101" t="s">
        <v>872</v>
      </c>
      <c r="H101" s="2">
        <v>2.76E-2</v>
      </c>
      <c r="I101" s="2">
        <v>8.6999999999999994E-2</v>
      </c>
      <c r="J101" t="s">
        <v>873</v>
      </c>
      <c r="K101">
        <v>334.99759999999998</v>
      </c>
      <c r="L101">
        <v>1</v>
      </c>
      <c r="M101">
        <v>1</v>
      </c>
      <c r="N101" t="str">
        <f t="shared" si="1"/>
        <v>2022</v>
      </c>
    </row>
    <row r="102" spans="1:14" hidden="1" x14ac:dyDescent="0.3">
      <c r="A102" t="s">
        <v>289</v>
      </c>
      <c r="B102" t="s">
        <v>290</v>
      </c>
      <c r="C102" t="s">
        <v>874</v>
      </c>
      <c r="D102" t="s">
        <v>291</v>
      </c>
      <c r="E102">
        <v>18</v>
      </c>
      <c r="F102">
        <v>630</v>
      </c>
      <c r="G102" t="s">
        <v>875</v>
      </c>
      <c r="H102" s="2">
        <v>3.1699999999999999E-2</v>
      </c>
      <c r="I102" s="2">
        <v>-0.10680000000000001</v>
      </c>
      <c r="J102" t="s">
        <v>876</v>
      </c>
      <c r="K102">
        <v>649.971</v>
      </c>
      <c r="L102">
        <v>1</v>
      </c>
      <c r="M102">
        <v>1</v>
      </c>
      <c r="N102" t="str">
        <f t="shared" si="1"/>
        <v>2022</v>
      </c>
    </row>
    <row r="103" spans="1:14" hidden="1" x14ac:dyDescent="0.3">
      <c r="A103" t="s">
        <v>292</v>
      </c>
      <c r="B103" t="s">
        <v>293</v>
      </c>
      <c r="C103" t="s">
        <v>877</v>
      </c>
      <c r="D103" t="s">
        <v>251</v>
      </c>
      <c r="E103">
        <v>-26</v>
      </c>
      <c r="F103">
        <v>949</v>
      </c>
      <c r="G103" t="s">
        <v>878</v>
      </c>
      <c r="H103" s="2">
        <v>-8.1100000000000005E-2</v>
      </c>
      <c r="I103" s="2">
        <v>-7.7499999999999999E-2</v>
      </c>
      <c r="J103" t="s">
        <v>879</v>
      </c>
      <c r="K103">
        <v>872.03610000000003</v>
      </c>
      <c r="L103">
        <v>-1</v>
      </c>
      <c r="M103">
        <v>-1</v>
      </c>
      <c r="N103" t="str">
        <f t="shared" si="1"/>
        <v>2022</v>
      </c>
    </row>
    <row r="104" spans="1:14" hidden="1" x14ac:dyDescent="0.3">
      <c r="A104" t="s">
        <v>294</v>
      </c>
      <c r="B104" t="s">
        <v>295</v>
      </c>
      <c r="C104" t="s">
        <v>880</v>
      </c>
      <c r="D104" t="s">
        <v>296</v>
      </c>
      <c r="E104">
        <v>-10</v>
      </c>
      <c r="F104">
        <v>542</v>
      </c>
      <c r="G104" t="s">
        <v>881</v>
      </c>
      <c r="H104" s="2">
        <v>-5.8999999999999997E-2</v>
      </c>
      <c r="I104" s="2">
        <v>-0.1694</v>
      </c>
      <c r="J104" t="s">
        <v>882</v>
      </c>
      <c r="K104">
        <v>510.02199999999999</v>
      </c>
      <c r="L104">
        <v>-1</v>
      </c>
      <c r="M104">
        <v>-1</v>
      </c>
      <c r="N104" t="str">
        <f t="shared" si="1"/>
        <v>2022</v>
      </c>
    </row>
    <row r="105" spans="1:14" hidden="1" x14ac:dyDescent="0.3">
      <c r="A105" t="s">
        <v>297</v>
      </c>
      <c r="B105" t="s">
        <v>298</v>
      </c>
      <c r="C105" t="s">
        <v>883</v>
      </c>
      <c r="D105" t="s">
        <v>299</v>
      </c>
      <c r="E105">
        <v>40</v>
      </c>
      <c r="F105">
        <v>292</v>
      </c>
      <c r="G105" t="s">
        <v>884</v>
      </c>
      <c r="H105" s="2">
        <v>0.2329</v>
      </c>
      <c r="I105" s="2">
        <v>0.29759999999999998</v>
      </c>
      <c r="J105" t="s">
        <v>885</v>
      </c>
      <c r="K105">
        <v>360.0068</v>
      </c>
      <c r="L105">
        <v>1</v>
      </c>
      <c r="M105">
        <v>1</v>
      </c>
      <c r="N105" t="str">
        <f t="shared" si="1"/>
        <v>2022</v>
      </c>
    </row>
    <row r="106" spans="1:14" hidden="1" x14ac:dyDescent="0.3">
      <c r="A106" t="s">
        <v>300</v>
      </c>
      <c r="B106" t="s">
        <v>301</v>
      </c>
      <c r="C106" t="s">
        <v>886</v>
      </c>
      <c r="D106" t="s">
        <v>302</v>
      </c>
      <c r="E106">
        <v>15</v>
      </c>
      <c r="F106">
        <v>137</v>
      </c>
      <c r="G106" t="s">
        <v>887</v>
      </c>
      <c r="H106" s="2">
        <v>0.14599999999999999</v>
      </c>
      <c r="I106" s="2">
        <v>0.17080000000000001</v>
      </c>
      <c r="J106" t="s">
        <v>888</v>
      </c>
      <c r="K106">
        <v>157.00200000000001</v>
      </c>
      <c r="L106">
        <v>1</v>
      </c>
      <c r="M106">
        <v>1</v>
      </c>
      <c r="N106" t="str">
        <f t="shared" si="1"/>
        <v>2022</v>
      </c>
    </row>
    <row r="107" spans="1:14" hidden="1" x14ac:dyDescent="0.3">
      <c r="A107" t="s">
        <v>303</v>
      </c>
      <c r="B107" t="s">
        <v>304</v>
      </c>
      <c r="C107" t="s">
        <v>889</v>
      </c>
      <c r="D107" t="s">
        <v>305</v>
      </c>
      <c r="E107">
        <v>25</v>
      </c>
      <c r="F107">
        <v>153</v>
      </c>
      <c r="G107" t="s">
        <v>890</v>
      </c>
      <c r="H107" s="2">
        <v>0.43790000000000001</v>
      </c>
      <c r="I107" s="2">
        <v>0.50980000000000003</v>
      </c>
      <c r="J107" t="s">
        <v>891</v>
      </c>
      <c r="K107">
        <v>219.99869999999999</v>
      </c>
      <c r="L107">
        <v>1</v>
      </c>
      <c r="M107">
        <v>1</v>
      </c>
      <c r="N107" t="str">
        <f t="shared" si="1"/>
        <v>2022</v>
      </c>
    </row>
    <row r="108" spans="1:14" hidden="1" x14ac:dyDescent="0.3">
      <c r="A108" t="s">
        <v>306</v>
      </c>
      <c r="B108" t="s">
        <v>307</v>
      </c>
      <c r="C108" t="s">
        <v>892</v>
      </c>
      <c r="D108" t="s">
        <v>308</v>
      </c>
      <c r="E108">
        <v>0</v>
      </c>
      <c r="F108">
        <v>68</v>
      </c>
      <c r="G108" t="s">
        <v>893</v>
      </c>
      <c r="H108" s="2">
        <v>0.1176</v>
      </c>
      <c r="I108" s="2">
        <v>0.23530000000000001</v>
      </c>
      <c r="J108" t="s">
        <v>894</v>
      </c>
      <c r="K108">
        <v>75.996799999999993</v>
      </c>
      <c r="L108">
        <v>0</v>
      </c>
      <c r="M108">
        <v>1</v>
      </c>
      <c r="N108" t="str">
        <f t="shared" si="1"/>
        <v>2022</v>
      </c>
    </row>
    <row r="109" spans="1:14" hidden="1" x14ac:dyDescent="0.3">
      <c r="A109" t="s">
        <v>309</v>
      </c>
      <c r="B109" t="s">
        <v>310</v>
      </c>
      <c r="C109" t="s">
        <v>895</v>
      </c>
      <c r="D109" t="s">
        <v>311</v>
      </c>
      <c r="E109">
        <v>-12</v>
      </c>
      <c r="F109">
        <v>866</v>
      </c>
      <c r="G109" t="s">
        <v>896</v>
      </c>
      <c r="H109" s="2">
        <v>7.9699999999999993E-2</v>
      </c>
      <c r="I109" s="2">
        <v>7.9500000000000001E-2</v>
      </c>
      <c r="J109" t="s">
        <v>897</v>
      </c>
      <c r="K109">
        <v>935.02019999999993</v>
      </c>
      <c r="L109">
        <v>-1</v>
      </c>
      <c r="M109">
        <v>1</v>
      </c>
      <c r="N109" t="str">
        <f t="shared" si="1"/>
        <v>2022</v>
      </c>
    </row>
    <row r="110" spans="1:14" hidden="1" x14ac:dyDescent="0.3">
      <c r="A110" t="s">
        <v>312</v>
      </c>
      <c r="B110" t="s">
        <v>313</v>
      </c>
      <c r="C110" t="s">
        <v>898</v>
      </c>
      <c r="D110" t="s">
        <v>314</v>
      </c>
      <c r="E110">
        <v>23</v>
      </c>
      <c r="F110">
        <v>230</v>
      </c>
      <c r="G110" t="s">
        <v>899</v>
      </c>
      <c r="H110" s="2">
        <v>-1.2999999999999999E-2</v>
      </c>
      <c r="I110" s="2">
        <v>0.1663</v>
      </c>
      <c r="J110" t="s">
        <v>900</v>
      </c>
      <c r="K110">
        <v>227.01</v>
      </c>
      <c r="L110">
        <v>1</v>
      </c>
      <c r="M110">
        <v>-1</v>
      </c>
      <c r="N110" t="str">
        <f t="shared" si="1"/>
        <v>2022</v>
      </c>
    </row>
    <row r="111" spans="1:14" hidden="1" x14ac:dyDescent="0.3">
      <c r="A111" t="s">
        <v>315</v>
      </c>
      <c r="B111" t="s">
        <v>316</v>
      </c>
      <c r="C111" t="s">
        <v>901</v>
      </c>
      <c r="D111" t="s">
        <v>317</v>
      </c>
      <c r="E111">
        <v>-6</v>
      </c>
      <c r="F111">
        <v>175</v>
      </c>
      <c r="G111" t="s">
        <v>902</v>
      </c>
      <c r="H111" s="2">
        <v>0</v>
      </c>
      <c r="I111" s="2">
        <v>-7.8299999999999995E-2</v>
      </c>
      <c r="J111" t="s">
        <v>903</v>
      </c>
      <c r="K111">
        <v>175</v>
      </c>
      <c r="L111">
        <v>-1</v>
      </c>
      <c r="M111">
        <v>0</v>
      </c>
      <c r="N111" t="str">
        <f t="shared" si="1"/>
        <v>2022</v>
      </c>
    </row>
    <row r="112" spans="1:14" x14ac:dyDescent="0.3">
      <c r="A112" t="s">
        <v>318</v>
      </c>
      <c r="B112" t="s">
        <v>319</v>
      </c>
      <c r="C112" t="s">
        <v>904</v>
      </c>
      <c r="D112" t="s">
        <v>320</v>
      </c>
      <c r="E112">
        <v>32</v>
      </c>
      <c r="F112">
        <v>448</v>
      </c>
      <c r="G112" t="s">
        <v>905</v>
      </c>
      <c r="H112" s="2">
        <v>9.1999999999999998E-3</v>
      </c>
      <c r="I112" s="2">
        <v>0.21690000000000001</v>
      </c>
      <c r="J112" t="s">
        <v>906</v>
      </c>
      <c r="K112">
        <v>452.1216</v>
      </c>
      <c r="L112">
        <v>1</v>
      </c>
      <c r="M112">
        <v>1</v>
      </c>
      <c r="N112" t="str">
        <f t="shared" si="1"/>
        <v>2023</v>
      </c>
    </row>
    <row r="113" spans="1:14" x14ac:dyDescent="0.3">
      <c r="A113" t="s">
        <v>321</v>
      </c>
      <c r="B113" t="s">
        <v>322</v>
      </c>
      <c r="C113" t="s">
        <v>907</v>
      </c>
      <c r="D113" t="s">
        <v>323</v>
      </c>
      <c r="E113">
        <v>195</v>
      </c>
      <c r="F113">
        <v>524</v>
      </c>
      <c r="G113" t="s">
        <v>908</v>
      </c>
      <c r="H113" t="s">
        <v>1197</v>
      </c>
      <c r="I113" s="2">
        <v>0.29289999999999999</v>
      </c>
      <c r="J113" t="s">
        <v>909</v>
      </c>
      <c r="K113" t="s">
        <v>1235</v>
      </c>
      <c r="L113">
        <v>1</v>
      </c>
      <c r="M113">
        <v>1</v>
      </c>
      <c r="N113" t="str">
        <f t="shared" si="1"/>
        <v>2023</v>
      </c>
    </row>
    <row r="114" spans="1:14" x14ac:dyDescent="0.3">
      <c r="A114" t="s">
        <v>324</v>
      </c>
      <c r="B114" t="s">
        <v>325</v>
      </c>
      <c r="C114" t="s">
        <v>910</v>
      </c>
      <c r="D114" t="s">
        <v>326</v>
      </c>
      <c r="E114">
        <v>235</v>
      </c>
      <c r="F114">
        <v>850</v>
      </c>
      <c r="G114" t="s">
        <v>911</v>
      </c>
      <c r="H114" t="s">
        <v>1198</v>
      </c>
      <c r="I114" s="2">
        <v>0.2127</v>
      </c>
      <c r="J114" t="s">
        <v>912</v>
      </c>
      <c r="K114" t="s">
        <v>1236</v>
      </c>
      <c r="L114">
        <v>1</v>
      </c>
      <c r="M114">
        <v>1</v>
      </c>
      <c r="N114" t="str">
        <f t="shared" si="1"/>
        <v>2023</v>
      </c>
    </row>
    <row r="115" spans="1:14" x14ac:dyDescent="0.3">
      <c r="A115" t="s">
        <v>327</v>
      </c>
      <c r="B115" t="s">
        <v>325</v>
      </c>
      <c r="C115" t="s">
        <v>913</v>
      </c>
      <c r="D115" t="s">
        <v>328</v>
      </c>
      <c r="E115">
        <v>0</v>
      </c>
      <c r="F115">
        <v>100</v>
      </c>
      <c r="G115" t="s">
        <v>914</v>
      </c>
      <c r="H115" t="s">
        <v>1199</v>
      </c>
      <c r="I115" s="2">
        <v>0.05</v>
      </c>
      <c r="J115" t="s">
        <v>915</v>
      </c>
      <c r="K115" t="s">
        <v>1237</v>
      </c>
      <c r="L115">
        <v>0</v>
      </c>
      <c r="M115">
        <v>1</v>
      </c>
      <c r="N115" t="str">
        <f t="shared" si="1"/>
        <v>2023</v>
      </c>
    </row>
    <row r="116" spans="1:14" x14ac:dyDescent="0.3">
      <c r="A116" t="s">
        <v>329</v>
      </c>
      <c r="B116" t="s">
        <v>325</v>
      </c>
      <c r="C116" t="s">
        <v>916</v>
      </c>
      <c r="D116" t="s">
        <v>330</v>
      </c>
      <c r="E116">
        <v>80</v>
      </c>
      <c r="F116">
        <v>280</v>
      </c>
      <c r="G116" t="s">
        <v>917</v>
      </c>
      <c r="H116" s="2">
        <v>8.3999999999999995E-3</v>
      </c>
      <c r="I116" s="2">
        <v>0.11609999999999999</v>
      </c>
      <c r="J116" t="s">
        <v>918</v>
      </c>
      <c r="K116">
        <v>282.35199999999998</v>
      </c>
      <c r="L116">
        <v>1</v>
      </c>
      <c r="M116">
        <v>1</v>
      </c>
      <c r="N116" t="str">
        <f t="shared" si="1"/>
        <v>2023</v>
      </c>
    </row>
    <row r="117" spans="1:14" x14ac:dyDescent="0.3">
      <c r="A117" t="s">
        <v>331</v>
      </c>
      <c r="B117" t="s">
        <v>332</v>
      </c>
      <c r="C117" t="s">
        <v>919</v>
      </c>
      <c r="D117" t="s">
        <v>333</v>
      </c>
      <c r="E117">
        <v>15</v>
      </c>
      <c r="F117">
        <v>360</v>
      </c>
      <c r="G117" t="s">
        <v>920</v>
      </c>
      <c r="H117" t="s">
        <v>1200</v>
      </c>
      <c r="I117" s="2">
        <v>-7.0800000000000002E-2</v>
      </c>
      <c r="J117" t="s">
        <v>921</v>
      </c>
      <c r="K117" t="s">
        <v>1238</v>
      </c>
      <c r="L117">
        <v>1</v>
      </c>
      <c r="M117">
        <v>1</v>
      </c>
      <c r="N117" t="str">
        <f t="shared" si="1"/>
        <v>2023</v>
      </c>
    </row>
    <row r="118" spans="1:14" x14ac:dyDescent="0.3">
      <c r="A118" t="s">
        <v>334</v>
      </c>
      <c r="B118" t="s">
        <v>332</v>
      </c>
      <c r="C118" t="s">
        <v>922</v>
      </c>
      <c r="D118" t="s">
        <v>335</v>
      </c>
      <c r="E118">
        <v>27</v>
      </c>
      <c r="F118">
        <v>291</v>
      </c>
      <c r="G118" t="s">
        <v>923</v>
      </c>
      <c r="H118" s="2">
        <v>-5.3999999999999999E-2</v>
      </c>
      <c r="I118" s="2">
        <v>-8.5199999999999998E-2</v>
      </c>
      <c r="J118" t="s">
        <v>924</v>
      </c>
      <c r="K118">
        <v>275.286</v>
      </c>
      <c r="L118">
        <v>1</v>
      </c>
      <c r="M118">
        <v>-1</v>
      </c>
      <c r="N118" t="str">
        <f t="shared" si="1"/>
        <v>2023</v>
      </c>
    </row>
    <row r="119" spans="1:14" x14ac:dyDescent="0.3">
      <c r="A119" t="s">
        <v>336</v>
      </c>
      <c r="B119" t="s">
        <v>332</v>
      </c>
      <c r="C119" t="s">
        <v>925</v>
      </c>
      <c r="D119" t="s">
        <v>337</v>
      </c>
      <c r="E119">
        <v>70</v>
      </c>
      <c r="F119">
        <v>55</v>
      </c>
      <c r="G119" t="s">
        <v>926</v>
      </c>
      <c r="H119" s="2">
        <v>0.98180000000000001</v>
      </c>
      <c r="I119" s="2">
        <v>0.88270000000000004</v>
      </c>
      <c r="J119" t="s">
        <v>927</v>
      </c>
      <c r="K119">
        <v>108.999</v>
      </c>
      <c r="L119">
        <v>1</v>
      </c>
      <c r="M119">
        <v>1</v>
      </c>
      <c r="N119" t="str">
        <f t="shared" si="1"/>
        <v>2023</v>
      </c>
    </row>
    <row r="120" spans="1:14" x14ac:dyDescent="0.3">
      <c r="A120" t="s">
        <v>338</v>
      </c>
      <c r="B120" t="s">
        <v>339</v>
      </c>
      <c r="C120" t="s">
        <v>928</v>
      </c>
      <c r="D120" t="s">
        <v>340</v>
      </c>
      <c r="E120">
        <v>440</v>
      </c>
      <c r="F120">
        <v>660</v>
      </c>
      <c r="G120" t="s">
        <v>929</v>
      </c>
      <c r="H120" s="2">
        <v>0.43890000000000001</v>
      </c>
      <c r="I120" s="2">
        <v>0.42420000000000002</v>
      </c>
      <c r="J120" t="s">
        <v>930</v>
      </c>
      <c r="K120">
        <v>949.67399999999998</v>
      </c>
      <c r="L120">
        <v>1</v>
      </c>
      <c r="M120">
        <v>1</v>
      </c>
      <c r="N120" t="str">
        <f t="shared" si="1"/>
        <v>2023</v>
      </c>
    </row>
    <row r="121" spans="1:14" x14ac:dyDescent="0.3">
      <c r="A121" t="s">
        <v>341</v>
      </c>
      <c r="B121" t="s">
        <v>342</v>
      </c>
      <c r="C121" t="s">
        <v>931</v>
      </c>
      <c r="D121" t="s">
        <v>343</v>
      </c>
      <c r="E121">
        <v>510</v>
      </c>
      <c r="F121">
        <v>790</v>
      </c>
      <c r="G121" t="s">
        <v>932</v>
      </c>
      <c r="H121" t="s">
        <v>1201</v>
      </c>
      <c r="I121" s="2">
        <v>0.68459999999999999</v>
      </c>
      <c r="J121" t="s">
        <v>933</v>
      </c>
      <c r="K121" t="s">
        <v>1239</v>
      </c>
      <c r="L121">
        <v>1</v>
      </c>
      <c r="M121">
        <v>1</v>
      </c>
      <c r="N121" t="str">
        <f t="shared" si="1"/>
        <v>2023</v>
      </c>
    </row>
    <row r="122" spans="1:14" x14ac:dyDescent="0.3">
      <c r="A122" t="s">
        <v>344</v>
      </c>
      <c r="B122" t="s">
        <v>342</v>
      </c>
      <c r="C122" t="s">
        <v>931</v>
      </c>
      <c r="D122" t="s">
        <v>345</v>
      </c>
      <c r="E122">
        <v>157</v>
      </c>
      <c r="F122">
        <v>493</v>
      </c>
      <c r="G122" t="s">
        <v>934</v>
      </c>
      <c r="H122" t="s">
        <v>1202</v>
      </c>
      <c r="I122" s="2">
        <v>0.10489999999999999</v>
      </c>
      <c r="J122" t="s">
        <v>935</v>
      </c>
      <c r="K122" t="s">
        <v>1240</v>
      </c>
      <c r="L122">
        <v>1</v>
      </c>
      <c r="M122">
        <v>1</v>
      </c>
      <c r="N122" t="str">
        <f t="shared" si="1"/>
        <v>2023</v>
      </c>
    </row>
    <row r="123" spans="1:14" x14ac:dyDescent="0.3">
      <c r="A123" t="s">
        <v>346</v>
      </c>
      <c r="B123" t="s">
        <v>347</v>
      </c>
      <c r="C123" t="s">
        <v>936</v>
      </c>
      <c r="D123" t="s">
        <v>348</v>
      </c>
      <c r="E123">
        <v>150</v>
      </c>
      <c r="F123">
        <v>304</v>
      </c>
      <c r="G123" t="s">
        <v>937</v>
      </c>
      <c r="H123" t="s">
        <v>1203</v>
      </c>
      <c r="I123" s="2">
        <v>0.48909999999999998</v>
      </c>
      <c r="J123" t="s">
        <v>938</v>
      </c>
      <c r="K123" t="s">
        <v>1241</v>
      </c>
      <c r="L123">
        <v>1</v>
      </c>
      <c r="M123">
        <v>1</v>
      </c>
      <c r="N123" t="str">
        <f t="shared" si="1"/>
        <v>2023</v>
      </c>
    </row>
    <row r="124" spans="1:14" x14ac:dyDescent="0.3">
      <c r="A124" t="s">
        <v>349</v>
      </c>
      <c r="B124" t="s">
        <v>350</v>
      </c>
      <c r="C124" t="s">
        <v>939</v>
      </c>
      <c r="D124" t="s">
        <v>351</v>
      </c>
      <c r="E124">
        <v>0</v>
      </c>
      <c r="F124">
        <v>140</v>
      </c>
      <c r="G124" t="s">
        <v>940</v>
      </c>
      <c r="H124" s="2">
        <v>-1.61E-2</v>
      </c>
      <c r="I124" s="2">
        <v>1.8E-3</v>
      </c>
      <c r="J124" t="s">
        <v>941</v>
      </c>
      <c r="K124">
        <v>137.74600000000001</v>
      </c>
      <c r="L124">
        <v>0</v>
      </c>
      <c r="M124">
        <v>-1</v>
      </c>
      <c r="N124" t="str">
        <f t="shared" si="1"/>
        <v>2023</v>
      </c>
    </row>
    <row r="125" spans="1:14" x14ac:dyDescent="0.3">
      <c r="A125" t="s">
        <v>352</v>
      </c>
      <c r="B125" t="s">
        <v>350</v>
      </c>
      <c r="C125" t="s">
        <v>942</v>
      </c>
      <c r="D125" t="s">
        <v>353</v>
      </c>
      <c r="E125">
        <v>475</v>
      </c>
      <c r="F125">
        <v>500</v>
      </c>
      <c r="G125" t="s">
        <v>943</v>
      </c>
      <c r="H125" s="2">
        <v>1.3998999999999999</v>
      </c>
      <c r="I125" s="2">
        <v>1.6285000000000001</v>
      </c>
      <c r="J125" t="s">
        <v>944</v>
      </c>
      <c r="K125">
        <v>1199.9499999999998</v>
      </c>
      <c r="L125">
        <v>1</v>
      </c>
      <c r="M125">
        <v>1</v>
      </c>
      <c r="N125" t="str">
        <f t="shared" si="1"/>
        <v>2023</v>
      </c>
    </row>
    <row r="126" spans="1:14" x14ac:dyDescent="0.3">
      <c r="A126" t="s">
        <v>354</v>
      </c>
      <c r="B126" t="s">
        <v>350</v>
      </c>
      <c r="C126" t="s">
        <v>945</v>
      </c>
      <c r="D126" t="s">
        <v>355</v>
      </c>
      <c r="E126">
        <v>73</v>
      </c>
      <c r="F126">
        <v>169</v>
      </c>
      <c r="G126" t="s">
        <v>946</v>
      </c>
      <c r="H126" s="2">
        <v>0.74790000000000001</v>
      </c>
      <c r="I126" s="2">
        <v>0.78400000000000003</v>
      </c>
      <c r="J126" t="s">
        <v>947</v>
      </c>
      <c r="K126">
        <v>295.39510000000001</v>
      </c>
      <c r="L126">
        <v>1</v>
      </c>
      <c r="M126">
        <v>1</v>
      </c>
      <c r="N126" t="str">
        <f t="shared" si="1"/>
        <v>2023</v>
      </c>
    </row>
    <row r="127" spans="1:14" x14ac:dyDescent="0.3">
      <c r="A127" t="s">
        <v>356</v>
      </c>
      <c r="B127" t="s">
        <v>357</v>
      </c>
      <c r="C127" t="s">
        <v>948</v>
      </c>
      <c r="D127" t="s">
        <v>358</v>
      </c>
      <c r="E127">
        <v>12</v>
      </c>
      <c r="F127">
        <v>32</v>
      </c>
      <c r="G127" t="s">
        <v>949</v>
      </c>
      <c r="H127" s="2">
        <v>0.5625</v>
      </c>
      <c r="I127" s="2">
        <v>0.875</v>
      </c>
      <c r="J127" t="s">
        <v>950</v>
      </c>
      <c r="K127">
        <v>50</v>
      </c>
      <c r="L127">
        <v>1</v>
      </c>
      <c r="M127">
        <v>1</v>
      </c>
      <c r="N127" t="str">
        <f t="shared" si="1"/>
        <v>2023</v>
      </c>
    </row>
    <row r="128" spans="1:14" x14ac:dyDescent="0.3">
      <c r="A128" t="s">
        <v>359</v>
      </c>
      <c r="B128" t="s">
        <v>360</v>
      </c>
      <c r="C128" t="s">
        <v>951</v>
      </c>
      <c r="D128" t="s">
        <v>361</v>
      </c>
      <c r="E128">
        <v>28</v>
      </c>
      <c r="F128">
        <v>282</v>
      </c>
      <c r="G128" t="s">
        <v>952</v>
      </c>
      <c r="H128" s="2">
        <v>7.5499999999999998E-2</v>
      </c>
      <c r="I128" s="2">
        <v>0.1</v>
      </c>
      <c r="J128" t="s">
        <v>953</v>
      </c>
      <c r="K128">
        <v>303.291</v>
      </c>
      <c r="L128">
        <v>1</v>
      </c>
      <c r="M128">
        <v>1</v>
      </c>
      <c r="N128" t="str">
        <f t="shared" si="1"/>
        <v>2023</v>
      </c>
    </row>
    <row r="129" spans="1:14" x14ac:dyDescent="0.3">
      <c r="A129" t="s">
        <v>362</v>
      </c>
      <c r="B129" t="s">
        <v>363</v>
      </c>
      <c r="C129" t="s">
        <v>954</v>
      </c>
      <c r="D129" t="s">
        <v>364</v>
      </c>
      <c r="E129">
        <v>48</v>
      </c>
      <c r="F129">
        <v>792</v>
      </c>
      <c r="G129" t="s">
        <v>955</v>
      </c>
      <c r="H129" t="s">
        <v>1204</v>
      </c>
      <c r="I129" s="2">
        <v>0.1149</v>
      </c>
      <c r="J129" t="s">
        <v>956</v>
      </c>
      <c r="K129" t="s">
        <v>1242</v>
      </c>
      <c r="L129">
        <v>1</v>
      </c>
      <c r="M129">
        <v>1</v>
      </c>
      <c r="N129" t="str">
        <f t="shared" si="1"/>
        <v>2023</v>
      </c>
    </row>
    <row r="130" spans="1:14" x14ac:dyDescent="0.3">
      <c r="A130" t="s">
        <v>365</v>
      </c>
      <c r="B130" t="s">
        <v>366</v>
      </c>
      <c r="C130" t="s">
        <v>957</v>
      </c>
      <c r="D130" t="s">
        <v>367</v>
      </c>
      <c r="E130">
        <v>16</v>
      </c>
      <c r="F130">
        <v>60</v>
      </c>
      <c r="G130" t="s">
        <v>958</v>
      </c>
      <c r="H130" s="2">
        <v>0.18329999999999999</v>
      </c>
      <c r="I130" s="2">
        <v>0.15079999999999999</v>
      </c>
      <c r="J130" t="s">
        <v>959</v>
      </c>
      <c r="K130">
        <v>70.998000000000005</v>
      </c>
      <c r="L130">
        <v>1</v>
      </c>
      <c r="M130">
        <v>1</v>
      </c>
      <c r="N130" t="str">
        <f t="shared" si="1"/>
        <v>2023</v>
      </c>
    </row>
    <row r="131" spans="1:14" x14ac:dyDescent="0.3">
      <c r="A131" t="s">
        <v>368</v>
      </c>
      <c r="B131" t="s">
        <v>369</v>
      </c>
      <c r="C131" t="s">
        <v>960</v>
      </c>
      <c r="D131" t="s">
        <v>370</v>
      </c>
      <c r="E131">
        <v>24</v>
      </c>
      <c r="F131">
        <v>324</v>
      </c>
      <c r="G131" t="s">
        <v>961</v>
      </c>
      <c r="H131" s="2">
        <v>1.8499999999999999E-2</v>
      </c>
      <c r="I131" s="2">
        <v>4.0599999999999997E-2</v>
      </c>
      <c r="J131" t="s">
        <v>962</v>
      </c>
      <c r="K131">
        <v>329.99400000000003</v>
      </c>
      <c r="L131">
        <v>1</v>
      </c>
      <c r="M131">
        <v>1</v>
      </c>
      <c r="N131" t="str">
        <f t="shared" ref="N131:N194" si="2">RIGHT(B131,4)</f>
        <v>2023</v>
      </c>
    </row>
    <row r="132" spans="1:14" x14ac:dyDescent="0.3">
      <c r="A132" t="s">
        <v>371</v>
      </c>
      <c r="B132" t="s">
        <v>372</v>
      </c>
      <c r="C132" t="s">
        <v>963</v>
      </c>
      <c r="D132" t="s">
        <v>373</v>
      </c>
      <c r="E132">
        <v>160</v>
      </c>
      <c r="F132">
        <v>648</v>
      </c>
      <c r="G132" t="s">
        <v>964</v>
      </c>
      <c r="H132" s="2">
        <v>0.27929999999999999</v>
      </c>
      <c r="I132" s="2">
        <v>0.22209999999999999</v>
      </c>
      <c r="J132" t="s">
        <v>965</v>
      </c>
      <c r="K132">
        <v>828.9864</v>
      </c>
      <c r="L132">
        <v>1</v>
      </c>
      <c r="M132">
        <v>1</v>
      </c>
      <c r="N132" t="str">
        <f t="shared" si="2"/>
        <v>2023</v>
      </c>
    </row>
    <row r="133" spans="1:14" x14ac:dyDescent="0.3">
      <c r="A133" t="s">
        <v>374</v>
      </c>
      <c r="B133" t="s">
        <v>375</v>
      </c>
      <c r="C133" t="s">
        <v>966</v>
      </c>
      <c r="D133" t="s">
        <v>376</v>
      </c>
      <c r="E133">
        <v>22</v>
      </c>
      <c r="F133">
        <v>346</v>
      </c>
      <c r="G133" t="s">
        <v>967</v>
      </c>
      <c r="H133" t="s">
        <v>1205</v>
      </c>
      <c r="I133" s="2">
        <v>0.1948</v>
      </c>
      <c r="J133" t="s">
        <v>968</v>
      </c>
      <c r="K133" t="s">
        <v>1243</v>
      </c>
      <c r="L133">
        <v>1</v>
      </c>
      <c r="M133">
        <v>1</v>
      </c>
      <c r="N133" t="str">
        <f t="shared" si="2"/>
        <v>2023</v>
      </c>
    </row>
    <row r="134" spans="1:14" x14ac:dyDescent="0.3">
      <c r="A134" t="s">
        <v>377</v>
      </c>
      <c r="B134" t="s">
        <v>378</v>
      </c>
      <c r="C134" t="s">
        <v>969</v>
      </c>
      <c r="D134" t="s">
        <v>379</v>
      </c>
      <c r="E134">
        <v>18</v>
      </c>
      <c r="F134">
        <v>505</v>
      </c>
      <c r="G134" t="s">
        <v>970</v>
      </c>
      <c r="H134" s="2">
        <v>-5.5E-2</v>
      </c>
      <c r="I134" s="2">
        <v>-6.3100000000000003E-2</v>
      </c>
      <c r="J134" t="s">
        <v>971</v>
      </c>
      <c r="K134">
        <v>477.22500000000002</v>
      </c>
      <c r="L134">
        <v>1</v>
      </c>
      <c r="M134">
        <v>-1</v>
      </c>
      <c r="N134" t="str">
        <f t="shared" si="2"/>
        <v>2023</v>
      </c>
    </row>
    <row r="135" spans="1:14" x14ac:dyDescent="0.3">
      <c r="A135" t="s">
        <v>380</v>
      </c>
      <c r="B135" t="s">
        <v>381</v>
      </c>
      <c r="C135" t="s">
        <v>972</v>
      </c>
      <c r="D135" t="s">
        <v>382</v>
      </c>
      <c r="E135">
        <v>23</v>
      </c>
      <c r="F135">
        <v>54</v>
      </c>
      <c r="G135" t="s">
        <v>973</v>
      </c>
      <c r="H135" t="s">
        <v>1206</v>
      </c>
      <c r="I135" s="2">
        <v>0.48570000000000002</v>
      </c>
      <c r="J135" t="s">
        <v>974</v>
      </c>
      <c r="K135" t="s">
        <v>1244</v>
      </c>
      <c r="L135">
        <v>1</v>
      </c>
      <c r="M135">
        <v>1</v>
      </c>
      <c r="N135" t="str">
        <f t="shared" si="2"/>
        <v>2023</v>
      </c>
    </row>
    <row r="136" spans="1:14" x14ac:dyDescent="0.3">
      <c r="A136" t="s">
        <v>383</v>
      </c>
      <c r="B136" t="s">
        <v>384</v>
      </c>
      <c r="C136" t="s">
        <v>975</v>
      </c>
      <c r="D136" t="s">
        <v>385</v>
      </c>
      <c r="E136">
        <v>20</v>
      </c>
      <c r="F136">
        <v>140</v>
      </c>
      <c r="G136" t="s">
        <v>976</v>
      </c>
      <c r="H136" s="2">
        <v>0.15820000000000001</v>
      </c>
      <c r="I136" s="2">
        <v>0.21609999999999999</v>
      </c>
      <c r="J136" t="s">
        <v>977</v>
      </c>
      <c r="K136">
        <v>162.148</v>
      </c>
      <c r="L136">
        <v>1</v>
      </c>
      <c r="M136">
        <v>1</v>
      </c>
      <c r="N136" t="str">
        <f t="shared" si="2"/>
        <v>2023</v>
      </c>
    </row>
    <row r="137" spans="1:14" x14ac:dyDescent="0.3">
      <c r="A137" t="s">
        <v>386</v>
      </c>
      <c r="B137" t="s">
        <v>387</v>
      </c>
      <c r="C137" t="s">
        <v>978</v>
      </c>
      <c r="D137" t="s">
        <v>388</v>
      </c>
      <c r="E137">
        <v>0</v>
      </c>
      <c r="F137">
        <v>300</v>
      </c>
      <c r="G137" t="s">
        <v>979</v>
      </c>
      <c r="H137" t="s">
        <v>1207</v>
      </c>
      <c r="I137" s="2">
        <v>-5.3699999999999998E-2</v>
      </c>
      <c r="J137" t="s">
        <v>980</v>
      </c>
      <c r="K137" t="s">
        <v>1245</v>
      </c>
      <c r="L137">
        <v>0</v>
      </c>
      <c r="M137">
        <v>1</v>
      </c>
      <c r="N137" t="str">
        <f t="shared" si="2"/>
        <v>2023</v>
      </c>
    </row>
    <row r="138" spans="1:14" x14ac:dyDescent="0.3">
      <c r="A138" t="s">
        <v>389</v>
      </c>
      <c r="B138" t="s">
        <v>390</v>
      </c>
      <c r="C138" t="s">
        <v>981</v>
      </c>
      <c r="D138" t="s">
        <v>391</v>
      </c>
      <c r="E138">
        <v>30</v>
      </c>
      <c r="F138">
        <v>119</v>
      </c>
      <c r="G138" t="s">
        <v>982</v>
      </c>
      <c r="H138" t="s">
        <v>1208</v>
      </c>
      <c r="I138" s="2">
        <v>0.32179999999999997</v>
      </c>
      <c r="J138" t="s">
        <v>983</v>
      </c>
      <c r="K138" t="s">
        <v>1246</v>
      </c>
      <c r="L138">
        <v>1</v>
      </c>
      <c r="M138">
        <v>1</v>
      </c>
      <c r="N138" t="str">
        <f t="shared" si="2"/>
        <v>2023</v>
      </c>
    </row>
    <row r="139" spans="1:14" x14ac:dyDescent="0.3">
      <c r="A139" t="s">
        <v>392</v>
      </c>
      <c r="B139" t="s">
        <v>390</v>
      </c>
      <c r="C139" t="s">
        <v>984</v>
      </c>
      <c r="D139" t="s">
        <v>223</v>
      </c>
      <c r="E139">
        <v>0</v>
      </c>
      <c r="F139">
        <v>215</v>
      </c>
      <c r="G139" t="s">
        <v>985</v>
      </c>
      <c r="H139" t="s">
        <v>1209</v>
      </c>
      <c r="I139" s="2">
        <v>3.0000000000000001E-3</v>
      </c>
      <c r="J139" t="s">
        <v>986</v>
      </c>
      <c r="K139" t="s">
        <v>1247</v>
      </c>
      <c r="L139">
        <v>0</v>
      </c>
      <c r="M139">
        <v>1</v>
      </c>
      <c r="N139" t="str">
        <f t="shared" si="2"/>
        <v>2023</v>
      </c>
    </row>
    <row r="140" spans="1:14" x14ac:dyDescent="0.3">
      <c r="A140" t="s">
        <v>393</v>
      </c>
      <c r="B140" t="s">
        <v>394</v>
      </c>
      <c r="C140" t="s">
        <v>987</v>
      </c>
      <c r="D140" t="s">
        <v>395</v>
      </c>
      <c r="E140">
        <v>0</v>
      </c>
      <c r="F140">
        <v>142</v>
      </c>
      <c r="G140" t="s">
        <v>988</v>
      </c>
      <c r="H140" s="2">
        <v>-0.1021</v>
      </c>
      <c r="I140" s="2">
        <v>-4.2599999999999999E-2</v>
      </c>
      <c r="J140" t="s">
        <v>989</v>
      </c>
      <c r="K140">
        <v>127.5018</v>
      </c>
      <c r="L140">
        <v>0</v>
      </c>
      <c r="M140">
        <v>-1</v>
      </c>
      <c r="N140" t="str">
        <f t="shared" si="2"/>
        <v>2023</v>
      </c>
    </row>
    <row r="141" spans="1:14" x14ac:dyDescent="0.3">
      <c r="A141" t="s">
        <v>396</v>
      </c>
      <c r="B141" t="s">
        <v>397</v>
      </c>
      <c r="C141" t="s">
        <v>990</v>
      </c>
      <c r="D141" t="s">
        <v>398</v>
      </c>
      <c r="E141">
        <v>7</v>
      </c>
      <c r="F141">
        <v>222</v>
      </c>
      <c r="G141" t="s">
        <v>991</v>
      </c>
      <c r="H141" s="2">
        <v>4.0500000000000001E-2</v>
      </c>
      <c r="I141" s="2">
        <v>0.1032</v>
      </c>
      <c r="J141" t="s">
        <v>992</v>
      </c>
      <c r="K141">
        <v>230.99099999999999</v>
      </c>
      <c r="L141">
        <v>1</v>
      </c>
      <c r="M141">
        <v>1</v>
      </c>
      <c r="N141" t="str">
        <f t="shared" si="2"/>
        <v>2023</v>
      </c>
    </row>
    <row r="142" spans="1:14" x14ac:dyDescent="0.3">
      <c r="A142" t="s">
        <v>399</v>
      </c>
      <c r="B142" t="s">
        <v>397</v>
      </c>
      <c r="C142" t="s">
        <v>993</v>
      </c>
      <c r="D142" t="s">
        <v>400</v>
      </c>
      <c r="E142">
        <v>50</v>
      </c>
      <c r="F142">
        <v>385</v>
      </c>
      <c r="G142" t="s">
        <v>994</v>
      </c>
      <c r="H142" s="2">
        <v>0.1532</v>
      </c>
      <c r="I142" s="2">
        <v>0.191</v>
      </c>
      <c r="J142" t="s">
        <v>995</v>
      </c>
      <c r="K142">
        <v>443.98199999999997</v>
      </c>
      <c r="L142">
        <v>1</v>
      </c>
      <c r="M142">
        <v>1</v>
      </c>
      <c r="N142" t="str">
        <f t="shared" si="2"/>
        <v>2023</v>
      </c>
    </row>
    <row r="143" spans="1:14" x14ac:dyDescent="0.3">
      <c r="A143" t="s">
        <v>401</v>
      </c>
      <c r="B143" t="s">
        <v>402</v>
      </c>
      <c r="C143" t="s">
        <v>996</v>
      </c>
      <c r="D143" t="s">
        <v>403</v>
      </c>
      <c r="E143">
        <v>8</v>
      </c>
      <c r="F143">
        <v>126</v>
      </c>
      <c r="G143" t="s">
        <v>997</v>
      </c>
      <c r="H143" s="2">
        <v>6.7500000000000004E-2</v>
      </c>
      <c r="I143" s="2">
        <v>0.13930000000000001</v>
      </c>
      <c r="J143" t="s">
        <v>998</v>
      </c>
      <c r="K143">
        <v>134.505</v>
      </c>
      <c r="L143">
        <v>1</v>
      </c>
      <c r="M143">
        <v>1</v>
      </c>
      <c r="N143" t="str">
        <f t="shared" si="2"/>
        <v>2023</v>
      </c>
    </row>
    <row r="144" spans="1:14" x14ac:dyDescent="0.3">
      <c r="A144" t="s">
        <v>404</v>
      </c>
      <c r="B144" t="s">
        <v>402</v>
      </c>
      <c r="C144" t="s">
        <v>999</v>
      </c>
      <c r="D144" t="s">
        <v>405</v>
      </c>
      <c r="E144">
        <v>11</v>
      </c>
      <c r="F144">
        <v>164</v>
      </c>
      <c r="G144" t="s">
        <v>1000</v>
      </c>
      <c r="H144" t="s">
        <v>1210</v>
      </c>
      <c r="I144" s="2">
        <v>-3.4500000000000003E-2</v>
      </c>
      <c r="J144" t="s">
        <v>1001</v>
      </c>
      <c r="K144" t="s">
        <v>1248</v>
      </c>
      <c r="L144">
        <v>1</v>
      </c>
      <c r="M144">
        <v>1</v>
      </c>
      <c r="N144" t="str">
        <f t="shared" si="2"/>
        <v>2023</v>
      </c>
    </row>
    <row r="145" spans="1:14" x14ac:dyDescent="0.3">
      <c r="A145" t="s">
        <v>406</v>
      </c>
      <c r="B145" t="s">
        <v>407</v>
      </c>
      <c r="C145" t="s">
        <v>1002</v>
      </c>
      <c r="D145" t="s">
        <v>408</v>
      </c>
      <c r="E145">
        <v>88</v>
      </c>
      <c r="F145">
        <v>211</v>
      </c>
      <c r="G145" t="s">
        <v>1003</v>
      </c>
      <c r="H145" s="2">
        <v>0.3367</v>
      </c>
      <c r="I145" s="2">
        <v>0.32650000000000001</v>
      </c>
      <c r="J145" t="s">
        <v>1004</v>
      </c>
      <c r="K145">
        <v>282.0437</v>
      </c>
      <c r="L145">
        <v>1</v>
      </c>
      <c r="M145">
        <v>1</v>
      </c>
      <c r="N145" t="str">
        <f t="shared" si="2"/>
        <v>2023</v>
      </c>
    </row>
    <row r="146" spans="1:14" x14ac:dyDescent="0.3">
      <c r="A146" t="s">
        <v>409</v>
      </c>
      <c r="B146" t="s">
        <v>410</v>
      </c>
      <c r="C146" t="s">
        <v>1005</v>
      </c>
      <c r="D146" t="s">
        <v>411</v>
      </c>
      <c r="E146">
        <v>104</v>
      </c>
      <c r="F146">
        <v>1035</v>
      </c>
      <c r="G146" t="s">
        <v>1006</v>
      </c>
      <c r="H146" t="s">
        <v>1211</v>
      </c>
      <c r="I146" s="2">
        <v>0.1575</v>
      </c>
      <c r="J146" t="s">
        <v>1007</v>
      </c>
      <c r="K146" t="s">
        <v>1249</v>
      </c>
      <c r="L146">
        <v>1</v>
      </c>
      <c r="M146">
        <v>1</v>
      </c>
      <c r="N146" t="str">
        <f t="shared" si="2"/>
        <v>2023</v>
      </c>
    </row>
    <row r="147" spans="1:14" x14ac:dyDescent="0.3">
      <c r="A147" t="s">
        <v>412</v>
      </c>
      <c r="B147" t="s">
        <v>413</v>
      </c>
      <c r="C147" t="s">
        <v>1008</v>
      </c>
      <c r="D147" t="s">
        <v>414</v>
      </c>
      <c r="E147">
        <v>233</v>
      </c>
      <c r="F147">
        <v>735</v>
      </c>
      <c r="G147" t="s">
        <v>1009</v>
      </c>
      <c r="H147" s="2">
        <v>0.32379999999999998</v>
      </c>
      <c r="I147" s="2">
        <v>0.46360000000000001</v>
      </c>
      <c r="J147" t="s">
        <v>1010</v>
      </c>
      <c r="K147">
        <v>972.99299999999994</v>
      </c>
      <c r="L147">
        <v>1</v>
      </c>
      <c r="M147">
        <v>1</v>
      </c>
      <c r="N147" t="str">
        <f t="shared" si="2"/>
        <v>2023</v>
      </c>
    </row>
    <row r="148" spans="1:14" x14ac:dyDescent="0.3">
      <c r="A148" t="s">
        <v>415</v>
      </c>
      <c r="B148" t="s">
        <v>416</v>
      </c>
      <c r="C148" t="s">
        <v>1011</v>
      </c>
      <c r="D148" t="s">
        <v>417</v>
      </c>
      <c r="E148">
        <v>52</v>
      </c>
      <c r="F148">
        <v>98</v>
      </c>
      <c r="G148" t="s">
        <v>1012</v>
      </c>
      <c r="H148" s="2">
        <v>0.2571</v>
      </c>
      <c r="I148" s="2">
        <v>0.37140000000000001</v>
      </c>
      <c r="J148" t="s">
        <v>1013</v>
      </c>
      <c r="K148">
        <v>123.19579999999999</v>
      </c>
      <c r="L148">
        <v>1</v>
      </c>
      <c r="M148">
        <v>1</v>
      </c>
      <c r="N148" t="str">
        <f t="shared" si="2"/>
        <v>2023</v>
      </c>
    </row>
    <row r="149" spans="1:14" x14ac:dyDescent="0.3">
      <c r="A149" t="s">
        <v>418</v>
      </c>
      <c r="B149" t="s">
        <v>416</v>
      </c>
      <c r="C149" t="s">
        <v>1014</v>
      </c>
      <c r="D149" t="s">
        <v>419</v>
      </c>
      <c r="E149">
        <v>61</v>
      </c>
      <c r="F149">
        <v>441</v>
      </c>
      <c r="G149" t="s">
        <v>1015</v>
      </c>
      <c r="H149" s="2">
        <v>4.3200000000000002E-2</v>
      </c>
      <c r="I149" s="2">
        <v>4.8999999999999998E-3</v>
      </c>
      <c r="J149" t="s">
        <v>1016</v>
      </c>
      <c r="K149">
        <v>460.05119999999999</v>
      </c>
      <c r="L149">
        <v>1</v>
      </c>
      <c r="M149">
        <v>1</v>
      </c>
      <c r="N149" t="str">
        <f t="shared" si="2"/>
        <v>2023</v>
      </c>
    </row>
    <row r="150" spans="1:14" x14ac:dyDescent="0.3">
      <c r="A150" t="s">
        <v>420</v>
      </c>
      <c r="B150" t="s">
        <v>421</v>
      </c>
      <c r="C150" t="s">
        <v>1017</v>
      </c>
      <c r="D150" t="s">
        <v>422</v>
      </c>
      <c r="E150">
        <v>62</v>
      </c>
      <c r="F150">
        <v>99</v>
      </c>
      <c r="G150" t="s">
        <v>1018</v>
      </c>
      <c r="H150" t="s">
        <v>1212</v>
      </c>
      <c r="I150" s="2">
        <v>0.47399999999999998</v>
      </c>
      <c r="J150" t="s">
        <v>1019</v>
      </c>
      <c r="K150" t="s">
        <v>1250</v>
      </c>
      <c r="L150">
        <v>1</v>
      </c>
      <c r="M150">
        <v>1</v>
      </c>
      <c r="N150" t="str">
        <f t="shared" si="2"/>
        <v>2023</v>
      </c>
    </row>
    <row r="151" spans="1:14" x14ac:dyDescent="0.3">
      <c r="A151" t="s">
        <v>423</v>
      </c>
      <c r="B151" t="s">
        <v>424</v>
      </c>
      <c r="C151" t="s">
        <v>1020</v>
      </c>
      <c r="D151" t="s">
        <v>425</v>
      </c>
      <c r="E151">
        <v>71</v>
      </c>
      <c r="F151">
        <v>108</v>
      </c>
      <c r="G151" t="s">
        <v>1021</v>
      </c>
      <c r="H151" s="2">
        <v>0.75929999999999997</v>
      </c>
      <c r="I151" s="2">
        <v>0.51160000000000005</v>
      </c>
      <c r="J151" t="s">
        <v>1022</v>
      </c>
      <c r="K151">
        <v>190.0044</v>
      </c>
      <c r="L151">
        <v>1</v>
      </c>
      <c r="M151">
        <v>1</v>
      </c>
      <c r="N151" t="str">
        <f t="shared" si="2"/>
        <v>2023</v>
      </c>
    </row>
    <row r="152" spans="1:14" x14ac:dyDescent="0.3">
      <c r="A152" t="s">
        <v>426</v>
      </c>
      <c r="B152" t="s">
        <v>427</v>
      </c>
      <c r="C152" t="s">
        <v>1023</v>
      </c>
      <c r="D152" t="s">
        <v>428</v>
      </c>
      <c r="E152">
        <v>22</v>
      </c>
      <c r="F152">
        <v>166</v>
      </c>
      <c r="G152" t="s">
        <v>1024</v>
      </c>
      <c r="H152" s="2">
        <v>0.1265</v>
      </c>
      <c r="I152" s="2">
        <v>7.0199999999999999E-2</v>
      </c>
      <c r="J152" t="s">
        <v>1025</v>
      </c>
      <c r="K152">
        <v>186.999</v>
      </c>
      <c r="L152">
        <v>1</v>
      </c>
      <c r="M152">
        <v>1</v>
      </c>
      <c r="N152" t="str">
        <f t="shared" si="2"/>
        <v>2023</v>
      </c>
    </row>
    <row r="153" spans="1:14" x14ac:dyDescent="0.3">
      <c r="A153" t="s">
        <v>429</v>
      </c>
      <c r="B153" t="s">
        <v>430</v>
      </c>
      <c r="C153" t="s">
        <v>1026</v>
      </c>
      <c r="D153" t="s">
        <v>431</v>
      </c>
      <c r="E153">
        <v>3</v>
      </c>
      <c r="F153">
        <v>197</v>
      </c>
      <c r="G153" t="s">
        <v>1027</v>
      </c>
      <c r="H153" s="2">
        <v>5.0999999999999997E-2</v>
      </c>
      <c r="I153" s="2">
        <v>2.0299999999999999E-2</v>
      </c>
      <c r="J153" t="s">
        <v>1028</v>
      </c>
      <c r="K153">
        <v>207.047</v>
      </c>
      <c r="L153">
        <v>1</v>
      </c>
      <c r="M153">
        <v>1</v>
      </c>
      <c r="N153" t="str">
        <f t="shared" si="2"/>
        <v>2023</v>
      </c>
    </row>
    <row r="154" spans="1:14" x14ac:dyDescent="0.3">
      <c r="A154" t="s">
        <v>432</v>
      </c>
      <c r="B154" t="s">
        <v>433</v>
      </c>
      <c r="C154" t="s">
        <v>1029</v>
      </c>
      <c r="D154" t="s">
        <v>434</v>
      </c>
      <c r="E154">
        <v>122</v>
      </c>
      <c r="F154">
        <v>741</v>
      </c>
      <c r="G154" t="s">
        <v>1030</v>
      </c>
      <c r="H154" s="2">
        <v>0.21460000000000001</v>
      </c>
      <c r="I154" s="2">
        <v>0.27229999999999999</v>
      </c>
      <c r="J154" t="s">
        <v>1031</v>
      </c>
      <c r="K154">
        <v>900.01859999999999</v>
      </c>
      <c r="L154">
        <v>1</v>
      </c>
      <c r="M154">
        <v>1</v>
      </c>
      <c r="N154" t="str">
        <f t="shared" si="2"/>
        <v>2023</v>
      </c>
    </row>
    <row r="155" spans="1:14" x14ac:dyDescent="0.3">
      <c r="A155" t="s">
        <v>435</v>
      </c>
      <c r="B155" t="s">
        <v>436</v>
      </c>
      <c r="C155" t="s">
        <v>1032</v>
      </c>
      <c r="D155" t="s">
        <v>437</v>
      </c>
      <c r="E155">
        <v>26</v>
      </c>
      <c r="F155">
        <v>57</v>
      </c>
      <c r="G155" t="s">
        <v>1033</v>
      </c>
      <c r="H155" t="s">
        <v>1213</v>
      </c>
      <c r="I155" s="2">
        <v>0.61770000000000003</v>
      </c>
      <c r="J155" t="s">
        <v>1034</v>
      </c>
      <c r="K155" t="s">
        <v>1251</v>
      </c>
      <c r="L155">
        <v>1</v>
      </c>
      <c r="M155">
        <v>1</v>
      </c>
      <c r="N155" t="str">
        <f t="shared" si="2"/>
        <v>2023</v>
      </c>
    </row>
    <row r="156" spans="1:14" x14ac:dyDescent="0.3">
      <c r="A156" t="s">
        <v>438</v>
      </c>
      <c r="B156" t="s">
        <v>439</v>
      </c>
      <c r="C156" t="s">
        <v>1035</v>
      </c>
      <c r="D156" t="s">
        <v>440</v>
      </c>
      <c r="E156">
        <v>75</v>
      </c>
      <c r="F156">
        <v>300</v>
      </c>
      <c r="G156" t="s">
        <v>1036</v>
      </c>
      <c r="H156" s="2">
        <v>2.0299999999999999E-2</v>
      </c>
      <c r="I156" s="2">
        <v>0</v>
      </c>
      <c r="J156" t="s">
        <v>1037</v>
      </c>
      <c r="K156">
        <v>306.08999999999997</v>
      </c>
      <c r="L156">
        <v>1</v>
      </c>
      <c r="M156">
        <v>1</v>
      </c>
      <c r="N156" t="str">
        <f t="shared" si="2"/>
        <v>2023</v>
      </c>
    </row>
    <row r="157" spans="1:14" x14ac:dyDescent="0.3">
      <c r="A157" t="s">
        <v>441</v>
      </c>
      <c r="B157" t="s">
        <v>442</v>
      </c>
      <c r="C157" t="s">
        <v>1038</v>
      </c>
      <c r="D157" t="s">
        <v>443</v>
      </c>
      <c r="E157">
        <v>394</v>
      </c>
      <c r="F157">
        <v>500</v>
      </c>
      <c r="G157" t="s">
        <v>1039</v>
      </c>
      <c r="H157" s="2">
        <v>0.89400000000000002</v>
      </c>
      <c r="I157" s="2">
        <v>0.82099999999999995</v>
      </c>
      <c r="J157" t="s">
        <v>1040</v>
      </c>
      <c r="K157">
        <v>947</v>
      </c>
      <c r="L157">
        <v>1</v>
      </c>
      <c r="M157">
        <v>1</v>
      </c>
      <c r="N157" t="str">
        <f t="shared" si="2"/>
        <v>2023</v>
      </c>
    </row>
    <row r="158" spans="1:14" x14ac:dyDescent="0.3">
      <c r="A158" t="s">
        <v>444</v>
      </c>
      <c r="B158" t="s">
        <v>445</v>
      </c>
      <c r="C158" t="s">
        <v>1041</v>
      </c>
      <c r="D158" t="s">
        <v>446</v>
      </c>
      <c r="E158">
        <v>16</v>
      </c>
      <c r="F158">
        <v>25</v>
      </c>
      <c r="G158" t="s">
        <v>1042</v>
      </c>
      <c r="H158" s="2">
        <v>0.6</v>
      </c>
      <c r="I158" s="2">
        <v>0.92</v>
      </c>
      <c r="J158" t="s">
        <v>1043</v>
      </c>
      <c r="K158">
        <v>40</v>
      </c>
      <c r="L158">
        <v>1</v>
      </c>
      <c r="M158">
        <v>1</v>
      </c>
      <c r="N158" t="str">
        <f t="shared" si="2"/>
        <v>2023</v>
      </c>
    </row>
    <row r="159" spans="1:14" x14ac:dyDescent="0.3">
      <c r="A159" t="s">
        <v>447</v>
      </c>
      <c r="B159" t="s">
        <v>448</v>
      </c>
      <c r="C159" t="s">
        <v>1044</v>
      </c>
      <c r="D159" t="s">
        <v>449</v>
      </c>
      <c r="E159">
        <v>103</v>
      </c>
      <c r="F159">
        <v>317</v>
      </c>
      <c r="G159" t="s">
        <v>1045</v>
      </c>
      <c r="H159" s="2">
        <v>0.35649999999999998</v>
      </c>
      <c r="I159" s="2">
        <v>0.27850000000000003</v>
      </c>
      <c r="J159" t="s">
        <v>1046</v>
      </c>
      <c r="K159">
        <v>430.01049999999998</v>
      </c>
      <c r="L159">
        <v>1</v>
      </c>
      <c r="M159">
        <v>1</v>
      </c>
      <c r="N159" t="str">
        <f t="shared" si="2"/>
        <v>2023</v>
      </c>
    </row>
    <row r="160" spans="1:14" x14ac:dyDescent="0.3">
      <c r="A160" t="s">
        <v>450</v>
      </c>
      <c r="B160" t="s">
        <v>451</v>
      </c>
      <c r="C160" t="s">
        <v>1047</v>
      </c>
      <c r="D160" t="s">
        <v>452</v>
      </c>
      <c r="E160">
        <v>135</v>
      </c>
      <c r="F160">
        <v>265</v>
      </c>
      <c r="G160" t="s">
        <v>1048</v>
      </c>
      <c r="H160" t="s">
        <v>1214</v>
      </c>
      <c r="I160" s="2">
        <v>0.5877</v>
      </c>
      <c r="J160" t="s">
        <v>1049</v>
      </c>
      <c r="K160" t="s">
        <v>1252</v>
      </c>
      <c r="L160">
        <v>1</v>
      </c>
      <c r="M160">
        <v>1</v>
      </c>
      <c r="N160" t="str">
        <f t="shared" si="2"/>
        <v>2023</v>
      </c>
    </row>
    <row r="161" spans="1:14" x14ac:dyDescent="0.3">
      <c r="A161" t="s">
        <v>453</v>
      </c>
      <c r="B161" t="s">
        <v>454</v>
      </c>
      <c r="C161" t="s">
        <v>1050</v>
      </c>
      <c r="D161" t="s">
        <v>455</v>
      </c>
      <c r="E161">
        <v>525</v>
      </c>
      <c r="F161">
        <v>672</v>
      </c>
      <c r="G161" t="s">
        <v>1051</v>
      </c>
      <c r="H161" s="2">
        <v>0.9345</v>
      </c>
      <c r="I161" s="2">
        <v>0.92779999999999996</v>
      </c>
      <c r="J161" t="s">
        <v>1052</v>
      </c>
      <c r="K161">
        <v>1299.9839999999999</v>
      </c>
      <c r="L161">
        <v>1</v>
      </c>
      <c r="M161">
        <v>1</v>
      </c>
      <c r="N161" t="str">
        <f t="shared" si="2"/>
        <v>2023</v>
      </c>
    </row>
    <row r="162" spans="1:14" x14ac:dyDescent="0.3">
      <c r="A162" t="s">
        <v>456</v>
      </c>
      <c r="B162" t="s">
        <v>457</v>
      </c>
      <c r="C162" t="s">
        <v>1053</v>
      </c>
      <c r="D162" t="s">
        <v>458</v>
      </c>
      <c r="E162">
        <v>40</v>
      </c>
      <c r="F162">
        <v>585</v>
      </c>
      <c r="G162" t="s">
        <v>1054</v>
      </c>
      <c r="H162" t="s">
        <v>1215</v>
      </c>
      <c r="I162" s="2">
        <v>1.1000000000000001E-3</v>
      </c>
      <c r="J162" t="s">
        <v>1055</v>
      </c>
      <c r="K162" t="s">
        <v>1253</v>
      </c>
      <c r="L162">
        <v>1</v>
      </c>
      <c r="M162">
        <v>1</v>
      </c>
      <c r="N162" t="str">
        <f t="shared" si="2"/>
        <v>2023</v>
      </c>
    </row>
    <row r="163" spans="1:14" x14ac:dyDescent="0.3">
      <c r="A163" t="s">
        <v>459</v>
      </c>
      <c r="B163" t="s">
        <v>460</v>
      </c>
      <c r="C163" t="s">
        <v>1056</v>
      </c>
      <c r="D163" t="s">
        <v>461</v>
      </c>
      <c r="E163">
        <v>90</v>
      </c>
      <c r="F163">
        <v>285</v>
      </c>
      <c r="G163" t="s">
        <v>1057</v>
      </c>
      <c r="H163" s="2">
        <v>0.37719999999999998</v>
      </c>
      <c r="I163" s="2">
        <v>0.41699999999999998</v>
      </c>
      <c r="J163" t="s">
        <v>1058</v>
      </c>
      <c r="K163">
        <v>392.50200000000001</v>
      </c>
      <c r="L163">
        <v>1</v>
      </c>
      <c r="M163">
        <v>1</v>
      </c>
      <c r="N163" t="str">
        <f t="shared" si="2"/>
        <v>2023</v>
      </c>
    </row>
    <row r="164" spans="1:14" x14ac:dyDescent="0.3">
      <c r="A164" t="s">
        <v>462</v>
      </c>
      <c r="B164" t="s">
        <v>463</v>
      </c>
      <c r="C164" t="s">
        <v>1059</v>
      </c>
      <c r="D164" t="s">
        <v>464</v>
      </c>
      <c r="E164">
        <v>121</v>
      </c>
      <c r="F164">
        <v>1080</v>
      </c>
      <c r="G164" t="s">
        <v>1060</v>
      </c>
      <c r="H164" s="2">
        <v>0.20369999999999999</v>
      </c>
      <c r="I164" s="2">
        <v>0.31859999999999999</v>
      </c>
      <c r="J164" t="s">
        <v>1061</v>
      </c>
      <c r="K164">
        <v>1299.9960000000001</v>
      </c>
      <c r="L164">
        <v>1</v>
      </c>
      <c r="M164">
        <v>1</v>
      </c>
      <c r="N164" t="str">
        <f t="shared" si="2"/>
        <v>2023</v>
      </c>
    </row>
    <row r="165" spans="1:14" x14ac:dyDescent="0.3">
      <c r="A165" t="s">
        <v>465</v>
      </c>
      <c r="B165" t="s">
        <v>466</v>
      </c>
      <c r="C165" t="s">
        <v>1062</v>
      </c>
      <c r="D165" t="s">
        <v>467</v>
      </c>
      <c r="E165">
        <v>7</v>
      </c>
      <c r="F165">
        <v>436</v>
      </c>
      <c r="G165" t="s">
        <v>1063</v>
      </c>
      <c r="H165" s="2">
        <v>0</v>
      </c>
      <c r="I165" s="2">
        <v>-8.7300000000000003E-2</v>
      </c>
      <c r="J165" t="s">
        <v>1064</v>
      </c>
      <c r="K165">
        <v>436</v>
      </c>
      <c r="L165">
        <v>1</v>
      </c>
      <c r="M165">
        <v>0</v>
      </c>
      <c r="N165" t="str">
        <f t="shared" si="2"/>
        <v>2023</v>
      </c>
    </row>
    <row r="166" spans="1:14" x14ac:dyDescent="0.3">
      <c r="A166" t="s">
        <v>468</v>
      </c>
      <c r="B166" t="s">
        <v>469</v>
      </c>
      <c r="C166" t="s">
        <v>1065</v>
      </c>
      <c r="D166" t="s">
        <v>470</v>
      </c>
      <c r="E166">
        <v>10</v>
      </c>
      <c r="F166">
        <v>35</v>
      </c>
      <c r="G166" t="s">
        <v>1066</v>
      </c>
      <c r="H166" s="2">
        <v>-0.1429</v>
      </c>
      <c r="I166" s="2">
        <v>-0.1</v>
      </c>
      <c r="J166" t="s">
        <v>1067</v>
      </c>
      <c r="K166">
        <v>29.9985</v>
      </c>
      <c r="L166">
        <v>1</v>
      </c>
      <c r="M166">
        <v>-1</v>
      </c>
      <c r="N166" t="str">
        <f t="shared" si="2"/>
        <v>2023</v>
      </c>
    </row>
    <row r="167" spans="1:14" x14ac:dyDescent="0.3">
      <c r="A167" t="s">
        <v>471</v>
      </c>
      <c r="B167" t="s">
        <v>472</v>
      </c>
      <c r="C167" t="s">
        <v>1068</v>
      </c>
      <c r="D167" t="s">
        <v>473</v>
      </c>
      <c r="E167">
        <v>18</v>
      </c>
      <c r="F167">
        <v>140</v>
      </c>
      <c r="G167" t="s">
        <v>1069</v>
      </c>
      <c r="H167" s="2">
        <v>0.1714</v>
      </c>
      <c r="I167" s="2">
        <v>0.2218</v>
      </c>
      <c r="J167" t="s">
        <v>1070</v>
      </c>
      <c r="K167">
        <v>163.99600000000001</v>
      </c>
      <c r="L167">
        <v>1</v>
      </c>
      <c r="M167">
        <v>1</v>
      </c>
      <c r="N167" t="str">
        <f t="shared" si="2"/>
        <v>2023</v>
      </c>
    </row>
    <row r="168" spans="1:14" x14ac:dyDescent="0.3">
      <c r="A168" t="s">
        <v>474</v>
      </c>
      <c r="B168" t="s">
        <v>475</v>
      </c>
      <c r="C168" t="s">
        <v>1071</v>
      </c>
      <c r="D168" t="s">
        <v>476</v>
      </c>
      <c r="E168">
        <v>29</v>
      </c>
      <c r="F168">
        <v>590</v>
      </c>
      <c r="G168" t="s">
        <v>1072</v>
      </c>
      <c r="H168" t="s">
        <v>1216</v>
      </c>
      <c r="I168" s="2">
        <v>2.58E-2</v>
      </c>
      <c r="J168" t="s">
        <v>1073</v>
      </c>
      <c r="K168" t="s">
        <v>1240</v>
      </c>
      <c r="L168">
        <v>1</v>
      </c>
      <c r="M168">
        <v>1</v>
      </c>
      <c r="N168" t="str">
        <f t="shared" si="2"/>
        <v>2023</v>
      </c>
    </row>
    <row r="169" spans="1:14" x14ac:dyDescent="0.3">
      <c r="A169" t="s">
        <v>477</v>
      </c>
      <c r="B169" t="s">
        <v>478</v>
      </c>
      <c r="C169" t="s">
        <v>1074</v>
      </c>
      <c r="D169" t="s">
        <v>479</v>
      </c>
      <c r="E169">
        <v>10</v>
      </c>
      <c r="F169">
        <v>65</v>
      </c>
      <c r="G169" t="s">
        <v>1075</v>
      </c>
      <c r="H169" s="2">
        <v>0.30769999999999997</v>
      </c>
      <c r="I169" s="2">
        <v>0.37309999999999999</v>
      </c>
      <c r="J169" t="s">
        <v>1076</v>
      </c>
      <c r="K169">
        <v>85.000500000000002</v>
      </c>
      <c r="L169">
        <v>1</v>
      </c>
      <c r="M169">
        <v>1</v>
      </c>
      <c r="N169" t="str">
        <f t="shared" si="2"/>
        <v>2023</v>
      </c>
    </row>
    <row r="170" spans="1:14" x14ac:dyDescent="0.3">
      <c r="A170" t="s">
        <v>480</v>
      </c>
      <c r="B170" t="s">
        <v>481</v>
      </c>
      <c r="C170" t="s">
        <v>1077</v>
      </c>
      <c r="D170" t="s">
        <v>482</v>
      </c>
      <c r="E170">
        <v>6</v>
      </c>
      <c r="F170">
        <v>99</v>
      </c>
      <c r="G170" t="s">
        <v>1078</v>
      </c>
      <c r="H170" t="s">
        <v>1217</v>
      </c>
      <c r="I170" s="2">
        <v>5.96E-2</v>
      </c>
      <c r="J170" t="s">
        <v>1079</v>
      </c>
      <c r="K170" t="s">
        <v>1254</v>
      </c>
      <c r="L170">
        <v>1</v>
      </c>
      <c r="M170">
        <v>1</v>
      </c>
      <c r="N170" t="str">
        <f t="shared" si="2"/>
        <v>2023</v>
      </c>
    </row>
    <row r="171" spans="1:14" hidden="1" x14ac:dyDescent="0.3">
      <c r="A171" t="s">
        <v>483</v>
      </c>
      <c r="B171" t="s">
        <v>484</v>
      </c>
      <c r="C171" t="s">
        <v>1080</v>
      </c>
      <c r="D171" t="s">
        <v>485</v>
      </c>
      <c r="E171">
        <v>70</v>
      </c>
      <c r="F171">
        <v>256</v>
      </c>
      <c r="G171" t="s">
        <v>1081</v>
      </c>
      <c r="H171" s="2">
        <v>0.3906</v>
      </c>
      <c r="I171" s="2">
        <v>0.36859999999999998</v>
      </c>
      <c r="J171" t="s">
        <v>1082</v>
      </c>
      <c r="K171">
        <v>355.99360000000001</v>
      </c>
      <c r="L171">
        <v>1</v>
      </c>
      <c r="M171">
        <v>1</v>
      </c>
      <c r="N171" t="str">
        <f t="shared" si="2"/>
        <v>2024</v>
      </c>
    </row>
    <row r="172" spans="1:14" hidden="1" x14ac:dyDescent="0.3">
      <c r="A172" t="s">
        <v>486</v>
      </c>
      <c r="B172" t="s">
        <v>484</v>
      </c>
      <c r="C172" t="s">
        <v>1083</v>
      </c>
      <c r="D172" t="s">
        <v>487</v>
      </c>
      <c r="E172">
        <v>300</v>
      </c>
      <c r="F172">
        <v>1008</v>
      </c>
      <c r="G172" t="s">
        <v>1084</v>
      </c>
      <c r="H172" s="2">
        <v>0.3145</v>
      </c>
      <c r="I172" s="2">
        <v>0.34839999999999999</v>
      </c>
      <c r="J172" t="s">
        <v>1085</v>
      </c>
      <c r="K172">
        <v>1325.0160000000001</v>
      </c>
      <c r="L172">
        <v>1</v>
      </c>
      <c r="M172">
        <v>1</v>
      </c>
      <c r="N172" t="str">
        <f t="shared" si="2"/>
        <v>2024</v>
      </c>
    </row>
    <row r="173" spans="1:14" hidden="1" x14ac:dyDescent="0.3">
      <c r="A173" t="s">
        <v>488</v>
      </c>
      <c r="B173" t="s">
        <v>489</v>
      </c>
      <c r="C173" t="s">
        <v>1086</v>
      </c>
      <c r="D173" t="s">
        <v>490</v>
      </c>
      <c r="E173">
        <v>50</v>
      </c>
      <c r="F173">
        <v>207</v>
      </c>
      <c r="G173" t="s">
        <v>1087</v>
      </c>
      <c r="H173" s="2">
        <v>0.15939999999999999</v>
      </c>
      <c r="I173" s="2">
        <v>0.21740000000000001</v>
      </c>
      <c r="J173" t="s">
        <v>1088</v>
      </c>
      <c r="K173">
        <v>239.9958</v>
      </c>
      <c r="L173">
        <v>1</v>
      </c>
      <c r="M173">
        <v>1</v>
      </c>
      <c r="N173" t="str">
        <f t="shared" si="2"/>
        <v>2024</v>
      </c>
    </row>
    <row r="174" spans="1:14" hidden="1" x14ac:dyDescent="0.3">
      <c r="A174" t="s">
        <v>491</v>
      </c>
      <c r="B174" t="s">
        <v>492</v>
      </c>
      <c r="C174" t="s">
        <v>1089</v>
      </c>
      <c r="D174" t="s">
        <v>493</v>
      </c>
      <c r="E174">
        <v>59</v>
      </c>
      <c r="F174">
        <v>281</v>
      </c>
      <c r="G174" t="s">
        <v>1090</v>
      </c>
      <c r="H174" s="2">
        <v>0.13880000000000001</v>
      </c>
      <c r="I174" s="2">
        <v>0.1313</v>
      </c>
      <c r="J174" t="s">
        <v>1091</v>
      </c>
      <c r="K174">
        <v>320.00279999999998</v>
      </c>
      <c r="L174">
        <v>1</v>
      </c>
      <c r="M174">
        <v>1</v>
      </c>
      <c r="N174" t="str">
        <f t="shared" si="2"/>
        <v>2024</v>
      </c>
    </row>
    <row r="175" spans="1:14" hidden="1" x14ac:dyDescent="0.3">
      <c r="A175" t="s">
        <v>494</v>
      </c>
      <c r="B175" t="s">
        <v>495</v>
      </c>
      <c r="C175" t="s">
        <v>1092</v>
      </c>
      <c r="D175" t="s">
        <v>496</v>
      </c>
      <c r="E175">
        <v>173</v>
      </c>
      <c r="F175">
        <v>369</v>
      </c>
      <c r="G175" t="s">
        <v>1093</v>
      </c>
      <c r="H175" s="2">
        <v>0.34129999999999999</v>
      </c>
      <c r="I175" s="2">
        <v>0.28660000000000002</v>
      </c>
      <c r="J175" t="s">
        <v>1094</v>
      </c>
      <c r="K175">
        <v>494.93970000000002</v>
      </c>
      <c r="L175">
        <v>1</v>
      </c>
      <c r="M175">
        <v>1</v>
      </c>
      <c r="N175" t="str">
        <f t="shared" si="2"/>
        <v>2024</v>
      </c>
    </row>
    <row r="176" spans="1:14" hidden="1" x14ac:dyDescent="0.3">
      <c r="A176" t="s">
        <v>497</v>
      </c>
      <c r="B176" t="s">
        <v>498</v>
      </c>
      <c r="C176" t="s">
        <v>1095</v>
      </c>
      <c r="D176" t="s">
        <v>499</v>
      </c>
      <c r="E176">
        <v>90</v>
      </c>
      <c r="F176">
        <v>203</v>
      </c>
      <c r="G176" t="s">
        <v>1096</v>
      </c>
      <c r="H176" s="2">
        <v>0.67</v>
      </c>
      <c r="I176" s="2">
        <v>0.65180000000000005</v>
      </c>
      <c r="J176" t="s">
        <v>1097</v>
      </c>
      <c r="K176">
        <v>339.01</v>
      </c>
      <c r="L176">
        <v>1</v>
      </c>
      <c r="M176">
        <v>1</v>
      </c>
      <c r="N176" t="str">
        <f t="shared" si="2"/>
        <v>2024</v>
      </c>
    </row>
    <row r="177" spans="1:14" hidden="1" x14ac:dyDescent="0.3">
      <c r="A177" t="s">
        <v>500</v>
      </c>
      <c r="B177" t="s">
        <v>498</v>
      </c>
      <c r="C177" t="s">
        <v>1098</v>
      </c>
      <c r="D177" t="s">
        <v>501</v>
      </c>
      <c r="E177">
        <v>16</v>
      </c>
      <c r="F177">
        <v>120</v>
      </c>
      <c r="G177" t="s">
        <v>1099</v>
      </c>
      <c r="H177" s="2">
        <v>5.8299999999999998E-2</v>
      </c>
      <c r="I177" s="2">
        <v>0.11119999999999999</v>
      </c>
      <c r="J177" t="s">
        <v>1100</v>
      </c>
      <c r="K177">
        <v>126.996</v>
      </c>
      <c r="L177">
        <v>1</v>
      </c>
      <c r="M177">
        <v>1</v>
      </c>
      <c r="N177" t="str">
        <f t="shared" si="2"/>
        <v>2024</v>
      </c>
    </row>
    <row r="178" spans="1:14" hidden="1" x14ac:dyDescent="0.3">
      <c r="A178" t="s">
        <v>502</v>
      </c>
      <c r="B178" t="s">
        <v>503</v>
      </c>
      <c r="C178" t="s">
        <v>1101</v>
      </c>
      <c r="D178" t="s">
        <v>504</v>
      </c>
      <c r="E178">
        <v>30.5</v>
      </c>
      <c r="F178">
        <v>93</v>
      </c>
      <c r="G178" t="s">
        <v>1102</v>
      </c>
      <c r="H178" s="2">
        <v>0.4849</v>
      </c>
      <c r="I178" s="2">
        <v>0.78190000000000004</v>
      </c>
      <c r="J178" t="s">
        <v>1103</v>
      </c>
      <c r="K178">
        <v>138.09569999999999</v>
      </c>
      <c r="L178">
        <v>1</v>
      </c>
      <c r="M178">
        <v>1</v>
      </c>
      <c r="N178" t="str">
        <f t="shared" si="2"/>
        <v>2024</v>
      </c>
    </row>
    <row r="179" spans="1:14" hidden="1" x14ac:dyDescent="0.3">
      <c r="A179" t="s">
        <v>505</v>
      </c>
      <c r="B179" t="s">
        <v>506</v>
      </c>
      <c r="C179" t="s">
        <v>1104</v>
      </c>
      <c r="D179" t="s">
        <v>507</v>
      </c>
      <c r="E179">
        <v>28</v>
      </c>
      <c r="F179">
        <v>136</v>
      </c>
      <c r="G179" t="s">
        <v>1105</v>
      </c>
      <c r="H179" s="2">
        <v>0.21290000000000001</v>
      </c>
      <c r="I179" s="2">
        <v>0.1132</v>
      </c>
      <c r="J179" t="s">
        <v>1106</v>
      </c>
      <c r="K179">
        <v>164.95439999999999</v>
      </c>
      <c r="L179">
        <v>1</v>
      </c>
      <c r="M179">
        <v>1</v>
      </c>
      <c r="N179" t="str">
        <f t="shared" si="2"/>
        <v>2024</v>
      </c>
    </row>
    <row r="180" spans="1:14" hidden="1" x14ac:dyDescent="0.3">
      <c r="A180" t="s">
        <v>508</v>
      </c>
      <c r="B180" t="s">
        <v>509</v>
      </c>
      <c r="C180" t="s">
        <v>1107</v>
      </c>
      <c r="D180" t="s">
        <v>510</v>
      </c>
      <c r="E180">
        <v>84</v>
      </c>
      <c r="F180">
        <v>383</v>
      </c>
      <c r="G180" t="s">
        <v>1108</v>
      </c>
      <c r="H180" s="2">
        <v>0.1358</v>
      </c>
      <c r="I180" s="2">
        <v>5.21E-2</v>
      </c>
      <c r="J180" t="s">
        <v>1109</v>
      </c>
      <c r="K180">
        <v>435.01139999999998</v>
      </c>
      <c r="L180">
        <v>1</v>
      </c>
      <c r="M180">
        <v>1</v>
      </c>
      <c r="N180" t="str">
        <f t="shared" si="2"/>
        <v>2024</v>
      </c>
    </row>
    <row r="181" spans="1:14" hidden="1" x14ac:dyDescent="0.3">
      <c r="A181" t="s">
        <v>511</v>
      </c>
      <c r="B181" t="s">
        <v>512</v>
      </c>
      <c r="C181" t="s">
        <v>1110</v>
      </c>
      <c r="D181" t="s">
        <v>513</v>
      </c>
      <c r="E181">
        <v>4</v>
      </c>
      <c r="F181">
        <v>272</v>
      </c>
      <c r="G181" t="s">
        <v>1111</v>
      </c>
      <c r="H181" s="2">
        <v>5.1499999999999997E-2</v>
      </c>
      <c r="I181" s="2">
        <v>0.125</v>
      </c>
      <c r="J181" t="s">
        <v>1112</v>
      </c>
      <c r="K181">
        <v>286.00799999999998</v>
      </c>
      <c r="L181">
        <v>1</v>
      </c>
      <c r="M181">
        <v>1</v>
      </c>
      <c r="N181" t="str">
        <f t="shared" si="2"/>
        <v>2024</v>
      </c>
    </row>
    <row r="182" spans="1:14" hidden="1" x14ac:dyDescent="0.3">
      <c r="A182" t="s">
        <v>514</v>
      </c>
      <c r="B182" t="s">
        <v>515</v>
      </c>
      <c r="C182" t="s">
        <v>1113</v>
      </c>
      <c r="D182" t="s">
        <v>516</v>
      </c>
      <c r="E182">
        <v>300</v>
      </c>
      <c r="F182">
        <v>920</v>
      </c>
      <c r="G182" t="s">
        <v>1114</v>
      </c>
      <c r="H182" s="2">
        <v>0.55000000000000004</v>
      </c>
      <c r="I182" s="2">
        <v>0.52859999999999996</v>
      </c>
      <c r="J182" t="s">
        <v>1115</v>
      </c>
      <c r="K182">
        <v>1426</v>
      </c>
      <c r="L182">
        <v>1</v>
      </c>
      <c r="M182">
        <v>1</v>
      </c>
      <c r="N182" t="str">
        <f t="shared" si="2"/>
        <v>2024</v>
      </c>
    </row>
    <row r="183" spans="1:14" hidden="1" x14ac:dyDescent="0.3">
      <c r="A183" t="s">
        <v>517</v>
      </c>
      <c r="B183" t="s">
        <v>515</v>
      </c>
      <c r="C183" t="s">
        <v>1116</v>
      </c>
      <c r="D183" t="s">
        <v>518</v>
      </c>
      <c r="E183">
        <v>43</v>
      </c>
      <c r="F183">
        <v>315</v>
      </c>
      <c r="G183" t="s">
        <v>1117</v>
      </c>
      <c r="H183" s="2">
        <v>0</v>
      </c>
      <c r="I183" s="2">
        <v>4.6199999999999998E-2</v>
      </c>
      <c r="J183" t="s">
        <v>1118</v>
      </c>
      <c r="K183">
        <v>315</v>
      </c>
      <c r="L183">
        <v>1</v>
      </c>
      <c r="M183">
        <v>0</v>
      </c>
      <c r="N183" t="str">
        <f t="shared" si="2"/>
        <v>2024</v>
      </c>
    </row>
    <row r="184" spans="1:14" hidden="1" x14ac:dyDescent="0.3">
      <c r="A184" t="s">
        <v>519</v>
      </c>
      <c r="B184" t="s">
        <v>520</v>
      </c>
      <c r="C184" t="s">
        <v>1119</v>
      </c>
      <c r="D184" t="s">
        <v>521</v>
      </c>
      <c r="E184">
        <v>275</v>
      </c>
      <c r="F184">
        <v>452</v>
      </c>
      <c r="G184" t="s">
        <v>1120</v>
      </c>
      <c r="H184" s="2">
        <v>0.4491</v>
      </c>
      <c r="I184" s="2">
        <v>0.2631</v>
      </c>
      <c r="J184" t="s">
        <v>1121</v>
      </c>
      <c r="K184">
        <v>654.9932</v>
      </c>
      <c r="L184">
        <v>1</v>
      </c>
      <c r="M184">
        <v>1</v>
      </c>
      <c r="N184" t="str">
        <f t="shared" si="2"/>
        <v>2024</v>
      </c>
    </row>
    <row r="185" spans="1:14" hidden="1" x14ac:dyDescent="0.3">
      <c r="A185" t="s">
        <v>522</v>
      </c>
      <c r="B185" t="s">
        <v>523</v>
      </c>
      <c r="C185" t="s">
        <v>1122</v>
      </c>
      <c r="D185" t="s">
        <v>524</v>
      </c>
      <c r="E185">
        <v>135</v>
      </c>
      <c r="F185">
        <v>415</v>
      </c>
      <c r="G185" t="s">
        <v>1123</v>
      </c>
      <c r="H185" s="2">
        <v>0.49640000000000001</v>
      </c>
      <c r="I185" s="2">
        <v>0.67359999999999998</v>
      </c>
      <c r="J185" t="s">
        <v>1124</v>
      </c>
      <c r="K185">
        <v>621.00599999999997</v>
      </c>
      <c r="L185">
        <v>1</v>
      </c>
      <c r="M185">
        <v>1</v>
      </c>
      <c r="N185" t="str">
        <f t="shared" si="2"/>
        <v>2024</v>
      </c>
    </row>
    <row r="186" spans="1:14" hidden="1" x14ac:dyDescent="0.3">
      <c r="A186" t="s">
        <v>525</v>
      </c>
      <c r="B186" t="s">
        <v>526</v>
      </c>
      <c r="C186" t="s">
        <v>1125</v>
      </c>
      <c r="D186" t="s">
        <v>527</v>
      </c>
      <c r="E186">
        <v>140</v>
      </c>
      <c r="F186">
        <v>570</v>
      </c>
      <c r="G186" t="s">
        <v>1126</v>
      </c>
      <c r="H186" s="2">
        <v>0.3246</v>
      </c>
      <c r="I186" s="2">
        <v>0.42759999999999998</v>
      </c>
      <c r="J186" t="s">
        <v>1127</v>
      </c>
      <c r="K186">
        <v>755.02199999999993</v>
      </c>
      <c r="L186">
        <v>1</v>
      </c>
      <c r="M186">
        <v>1</v>
      </c>
      <c r="N186" t="str">
        <f t="shared" si="2"/>
        <v>2024</v>
      </c>
    </row>
    <row r="187" spans="1:14" hidden="1" x14ac:dyDescent="0.3">
      <c r="A187" t="s">
        <v>528</v>
      </c>
      <c r="B187" t="s">
        <v>529</v>
      </c>
      <c r="C187" t="s">
        <v>1128</v>
      </c>
      <c r="D187" t="s">
        <v>530</v>
      </c>
      <c r="E187">
        <v>70</v>
      </c>
      <c r="F187">
        <v>210</v>
      </c>
      <c r="G187" t="s">
        <v>1129</v>
      </c>
      <c r="H187" s="2">
        <v>2.5000000000000001E-2</v>
      </c>
      <c r="I187" s="2">
        <v>0.12479999999999999</v>
      </c>
      <c r="J187" t="s">
        <v>1130</v>
      </c>
      <c r="K187">
        <v>215.25</v>
      </c>
      <c r="L187">
        <v>1</v>
      </c>
      <c r="M187">
        <v>1</v>
      </c>
      <c r="N187" t="str">
        <f t="shared" si="2"/>
        <v>2024</v>
      </c>
    </row>
    <row r="188" spans="1:14" hidden="1" x14ac:dyDescent="0.3">
      <c r="A188" t="s">
        <v>531</v>
      </c>
      <c r="B188" t="s">
        <v>532</v>
      </c>
      <c r="C188" t="s">
        <v>1131</v>
      </c>
      <c r="D188" t="s">
        <v>533</v>
      </c>
      <c r="E188">
        <v>60</v>
      </c>
      <c r="F188">
        <v>715</v>
      </c>
      <c r="G188" t="s">
        <v>1132</v>
      </c>
      <c r="H188" s="2">
        <v>9.7900000000000001E-2</v>
      </c>
      <c r="I188" s="2">
        <v>-3.0000000000000001E-3</v>
      </c>
      <c r="J188" t="s">
        <v>1133</v>
      </c>
      <c r="K188">
        <v>784.99850000000004</v>
      </c>
      <c r="L188">
        <v>1</v>
      </c>
      <c r="M188">
        <v>1</v>
      </c>
      <c r="N188" t="str">
        <f t="shared" si="2"/>
        <v>2024</v>
      </c>
    </row>
    <row r="189" spans="1:14" hidden="1" x14ac:dyDescent="0.3">
      <c r="A189" t="s">
        <v>534</v>
      </c>
      <c r="B189" t="s">
        <v>535</v>
      </c>
      <c r="C189" t="s">
        <v>1134</v>
      </c>
      <c r="D189" t="s">
        <v>536</v>
      </c>
      <c r="E189">
        <v>0</v>
      </c>
      <c r="F189">
        <v>295</v>
      </c>
      <c r="G189" t="s">
        <v>1135</v>
      </c>
      <c r="H189" s="2">
        <v>-1.9699999999999999E-2</v>
      </c>
      <c r="I189" s="2">
        <v>-6.3600000000000004E-2</v>
      </c>
      <c r="J189" t="s">
        <v>1136</v>
      </c>
      <c r="K189">
        <v>289.18849999999998</v>
      </c>
      <c r="L189">
        <v>0</v>
      </c>
      <c r="M189">
        <v>-1</v>
      </c>
      <c r="N189" t="str">
        <f t="shared" si="2"/>
        <v>2024</v>
      </c>
    </row>
    <row r="190" spans="1:14" hidden="1" x14ac:dyDescent="0.3">
      <c r="A190" t="s">
        <v>537</v>
      </c>
      <c r="B190" t="s">
        <v>538</v>
      </c>
      <c r="C190" t="s">
        <v>1137</v>
      </c>
      <c r="D190" t="s">
        <v>539</v>
      </c>
      <c r="E190">
        <v>-25</v>
      </c>
      <c r="F190">
        <v>401</v>
      </c>
      <c r="G190" t="s">
        <v>1138</v>
      </c>
      <c r="H190" s="2">
        <v>-0.12470000000000001</v>
      </c>
      <c r="I190" s="2">
        <v>-9.5500000000000002E-2</v>
      </c>
      <c r="J190" t="s">
        <v>1139</v>
      </c>
      <c r="K190">
        <v>350.99529999999999</v>
      </c>
      <c r="L190">
        <v>-1</v>
      </c>
      <c r="M190">
        <v>-1</v>
      </c>
      <c r="N190" t="str">
        <f t="shared" si="2"/>
        <v>2024</v>
      </c>
    </row>
    <row r="191" spans="1:14" hidden="1" x14ac:dyDescent="0.3">
      <c r="A191" t="s">
        <v>540</v>
      </c>
      <c r="B191" t="s">
        <v>541</v>
      </c>
      <c r="C191" t="s">
        <v>1140</v>
      </c>
      <c r="D191" t="s">
        <v>542</v>
      </c>
      <c r="E191">
        <v>5</v>
      </c>
      <c r="F191">
        <v>221</v>
      </c>
      <c r="G191" t="s">
        <v>1141</v>
      </c>
      <c r="H191" t="s">
        <v>1218</v>
      </c>
      <c r="I191" s="2">
        <v>-0.1638</v>
      </c>
      <c r="J191" t="s">
        <v>1142</v>
      </c>
      <c r="K191" t="s">
        <v>1255</v>
      </c>
      <c r="L191">
        <v>1</v>
      </c>
      <c r="M191">
        <v>1</v>
      </c>
      <c r="N191" t="str">
        <f t="shared" si="2"/>
        <v>2024</v>
      </c>
    </row>
    <row r="192" spans="1:14" hidden="1" x14ac:dyDescent="0.3">
      <c r="A192" t="s">
        <v>543</v>
      </c>
      <c r="B192" t="s">
        <v>544</v>
      </c>
      <c r="C192" t="s">
        <v>1143</v>
      </c>
      <c r="D192" t="s">
        <v>545</v>
      </c>
      <c r="E192">
        <v>0</v>
      </c>
      <c r="F192">
        <v>288</v>
      </c>
      <c r="G192" t="s">
        <v>1144</v>
      </c>
      <c r="H192" t="s">
        <v>1219</v>
      </c>
      <c r="I192" s="2">
        <v>-8.5900000000000004E-2</v>
      </c>
      <c r="J192" t="s">
        <v>1145</v>
      </c>
      <c r="K192" t="s">
        <v>1256</v>
      </c>
      <c r="L192">
        <v>0</v>
      </c>
      <c r="M192">
        <v>1</v>
      </c>
      <c r="N192" t="str">
        <f t="shared" si="2"/>
        <v>2024</v>
      </c>
    </row>
    <row r="193" spans="1:14" hidden="1" x14ac:dyDescent="0.3">
      <c r="A193" t="s">
        <v>546</v>
      </c>
      <c r="B193" t="s">
        <v>544</v>
      </c>
      <c r="C193" t="s">
        <v>1146</v>
      </c>
      <c r="D193" t="s">
        <v>547</v>
      </c>
      <c r="E193">
        <v>2</v>
      </c>
      <c r="F193">
        <v>100</v>
      </c>
      <c r="G193" t="s">
        <v>1147</v>
      </c>
      <c r="H193" s="2">
        <v>1.0999999999999999E-2</v>
      </c>
      <c r="I193" s="2">
        <v>3.0499999999999999E-2</v>
      </c>
      <c r="J193" t="s">
        <v>1148</v>
      </c>
      <c r="K193">
        <v>101.1</v>
      </c>
      <c r="L193">
        <v>1</v>
      </c>
      <c r="M193">
        <v>1</v>
      </c>
      <c r="N193" t="str">
        <f t="shared" si="2"/>
        <v>2024</v>
      </c>
    </row>
    <row r="194" spans="1:14" hidden="1" x14ac:dyDescent="0.3">
      <c r="A194" t="s">
        <v>548</v>
      </c>
      <c r="B194" t="s">
        <v>549</v>
      </c>
      <c r="C194" t="s">
        <v>1149</v>
      </c>
      <c r="D194" t="s">
        <v>550</v>
      </c>
      <c r="E194">
        <v>35</v>
      </c>
      <c r="F194">
        <v>28</v>
      </c>
      <c r="G194" t="s">
        <v>1150</v>
      </c>
      <c r="H194" t="s">
        <v>1220</v>
      </c>
      <c r="I194" s="2">
        <v>0.50929999999999997</v>
      </c>
      <c r="J194" t="s">
        <v>1151</v>
      </c>
      <c r="K194" t="s">
        <v>1257</v>
      </c>
      <c r="L194">
        <v>1</v>
      </c>
      <c r="M194">
        <v>1</v>
      </c>
      <c r="N194" t="str">
        <f t="shared" si="2"/>
        <v>2024</v>
      </c>
    </row>
    <row r="195" spans="1:14" hidden="1" x14ac:dyDescent="0.3">
      <c r="A195" t="s">
        <v>551</v>
      </c>
      <c r="B195" t="s">
        <v>552</v>
      </c>
      <c r="C195" t="s">
        <v>1152</v>
      </c>
      <c r="D195" t="s">
        <v>553</v>
      </c>
      <c r="E195">
        <v>87</v>
      </c>
      <c r="F195">
        <v>171</v>
      </c>
      <c r="G195" t="s">
        <v>1153</v>
      </c>
      <c r="H195" t="s">
        <v>1221</v>
      </c>
      <c r="I195" s="2">
        <v>0.29360000000000003</v>
      </c>
      <c r="J195" t="s">
        <v>1154</v>
      </c>
      <c r="K195" t="s">
        <v>1258</v>
      </c>
      <c r="L195">
        <v>1</v>
      </c>
      <c r="M195">
        <v>1</v>
      </c>
      <c r="N195" t="str">
        <f t="shared" ref="N195:N209" si="3">RIGHT(B195,4)</f>
        <v>2024</v>
      </c>
    </row>
    <row r="196" spans="1:14" hidden="1" x14ac:dyDescent="0.3">
      <c r="A196" t="s">
        <v>554</v>
      </c>
      <c r="B196" t="s">
        <v>552</v>
      </c>
      <c r="C196" t="s">
        <v>1155</v>
      </c>
      <c r="D196" t="s">
        <v>555</v>
      </c>
      <c r="E196">
        <v>160</v>
      </c>
      <c r="F196">
        <v>142</v>
      </c>
      <c r="G196" t="s">
        <v>1156</v>
      </c>
      <c r="H196" t="s">
        <v>1222</v>
      </c>
      <c r="I196" s="2">
        <v>0.58909999999999996</v>
      </c>
      <c r="J196" t="s">
        <v>1157</v>
      </c>
      <c r="K196" t="s">
        <v>1259</v>
      </c>
      <c r="L196">
        <v>1</v>
      </c>
      <c r="M196">
        <v>1</v>
      </c>
      <c r="N196" t="str">
        <f t="shared" si="3"/>
        <v>2024</v>
      </c>
    </row>
    <row r="197" spans="1:14" hidden="1" x14ac:dyDescent="0.3">
      <c r="A197" t="s">
        <v>556</v>
      </c>
      <c r="B197" t="s">
        <v>557</v>
      </c>
      <c r="C197" t="s">
        <v>1158</v>
      </c>
      <c r="D197" t="s">
        <v>558</v>
      </c>
      <c r="E197">
        <v>17</v>
      </c>
      <c r="F197">
        <v>186</v>
      </c>
      <c r="G197" t="s">
        <v>1159</v>
      </c>
      <c r="H197" s="2">
        <v>0.15590000000000001</v>
      </c>
      <c r="I197" s="2">
        <v>7.9299999999999995E-2</v>
      </c>
      <c r="J197" t="s">
        <v>1160</v>
      </c>
      <c r="L197">
        <v>1</v>
      </c>
      <c r="M197">
        <v>-1</v>
      </c>
      <c r="N197" t="str">
        <f t="shared" si="3"/>
        <v>2024</v>
      </c>
    </row>
    <row r="198" spans="1:14" hidden="1" x14ac:dyDescent="0.3">
      <c r="A198" t="s">
        <v>559</v>
      </c>
      <c r="B198" t="s">
        <v>560</v>
      </c>
      <c r="C198" t="s">
        <v>1161</v>
      </c>
      <c r="D198" t="s">
        <v>561</v>
      </c>
      <c r="E198">
        <v>0</v>
      </c>
      <c r="F198">
        <v>360</v>
      </c>
      <c r="G198" t="s">
        <v>1162</v>
      </c>
      <c r="H198" t="s">
        <v>1223</v>
      </c>
      <c r="I198" s="2">
        <v>0.1153</v>
      </c>
      <c r="J198" t="s">
        <v>1163</v>
      </c>
      <c r="K198" t="s">
        <v>1260</v>
      </c>
      <c r="L198">
        <v>0</v>
      </c>
      <c r="M198">
        <v>1</v>
      </c>
      <c r="N198" t="str">
        <f t="shared" si="3"/>
        <v>2024</v>
      </c>
    </row>
    <row r="199" spans="1:14" hidden="1" x14ac:dyDescent="0.3">
      <c r="A199" t="s">
        <v>562</v>
      </c>
      <c r="B199" t="s">
        <v>563</v>
      </c>
      <c r="C199" t="s">
        <v>1164</v>
      </c>
      <c r="D199" t="s">
        <v>564</v>
      </c>
      <c r="E199">
        <v>140</v>
      </c>
      <c r="F199">
        <v>151</v>
      </c>
      <c r="G199" t="s">
        <v>1165</v>
      </c>
      <c r="H199" t="s">
        <v>1224</v>
      </c>
      <c r="I199" s="2">
        <v>1.9553</v>
      </c>
      <c r="J199" t="s">
        <v>1166</v>
      </c>
      <c r="K199" t="s">
        <v>1261</v>
      </c>
      <c r="L199">
        <v>1</v>
      </c>
      <c r="M199">
        <v>1</v>
      </c>
      <c r="N199" t="str">
        <f t="shared" si="3"/>
        <v>2024</v>
      </c>
    </row>
    <row r="200" spans="1:14" hidden="1" x14ac:dyDescent="0.3">
      <c r="A200" t="s">
        <v>565</v>
      </c>
      <c r="B200" t="s">
        <v>566</v>
      </c>
      <c r="C200" t="s">
        <v>1167</v>
      </c>
      <c r="D200" t="s">
        <v>567</v>
      </c>
      <c r="E200">
        <v>2</v>
      </c>
      <c r="F200">
        <v>1258</v>
      </c>
      <c r="G200" t="s">
        <v>1168</v>
      </c>
      <c r="H200" s="2">
        <v>-2.3300000000000001E-2</v>
      </c>
      <c r="I200" s="2">
        <v>-8.6199999999999999E-2</v>
      </c>
      <c r="J200" t="s">
        <v>1169</v>
      </c>
      <c r="K200">
        <v>1228.6886</v>
      </c>
      <c r="L200">
        <v>1</v>
      </c>
      <c r="M200">
        <v>-1</v>
      </c>
      <c r="N200" t="str">
        <f t="shared" si="3"/>
        <v>2024</v>
      </c>
    </row>
    <row r="201" spans="1:14" hidden="1" x14ac:dyDescent="0.3">
      <c r="A201" t="s">
        <v>568</v>
      </c>
      <c r="B201" t="s">
        <v>569</v>
      </c>
      <c r="C201" t="s">
        <v>1170</v>
      </c>
      <c r="D201" t="s">
        <v>570</v>
      </c>
      <c r="E201">
        <v>34</v>
      </c>
      <c r="F201">
        <v>311</v>
      </c>
      <c r="G201" t="s">
        <v>1171</v>
      </c>
      <c r="H201" s="2">
        <v>9.1600000000000001E-2</v>
      </c>
      <c r="I201" s="2">
        <v>3.3799999999999997E-2</v>
      </c>
      <c r="J201" t="s">
        <v>1172</v>
      </c>
      <c r="K201">
        <v>339.48759999999999</v>
      </c>
      <c r="L201">
        <v>1</v>
      </c>
      <c r="M201">
        <v>1</v>
      </c>
      <c r="N201" t="str">
        <f t="shared" si="3"/>
        <v>2024</v>
      </c>
    </row>
    <row r="202" spans="1:14" hidden="1" x14ac:dyDescent="0.3">
      <c r="A202" t="s">
        <v>571</v>
      </c>
      <c r="B202" t="s">
        <v>569</v>
      </c>
      <c r="C202" t="s">
        <v>1173</v>
      </c>
      <c r="D202" t="s">
        <v>572</v>
      </c>
      <c r="E202">
        <v>0</v>
      </c>
      <c r="F202">
        <v>468</v>
      </c>
      <c r="G202" t="s">
        <v>1174</v>
      </c>
      <c r="H202" s="2">
        <v>-8.0699999999999994E-2</v>
      </c>
      <c r="I202" s="2">
        <v>-7.0499999999999993E-2</v>
      </c>
      <c r="J202" t="s">
        <v>1175</v>
      </c>
      <c r="K202">
        <v>430.23239999999998</v>
      </c>
      <c r="L202">
        <v>0</v>
      </c>
      <c r="M202">
        <v>-1</v>
      </c>
      <c r="N202" t="str">
        <f t="shared" si="3"/>
        <v>2024</v>
      </c>
    </row>
    <row r="203" spans="1:14" hidden="1" x14ac:dyDescent="0.3">
      <c r="A203" t="s">
        <v>573</v>
      </c>
      <c r="B203" t="s">
        <v>569</v>
      </c>
      <c r="C203" t="s">
        <v>904</v>
      </c>
      <c r="D203" t="s">
        <v>574</v>
      </c>
      <c r="E203">
        <v>16</v>
      </c>
      <c r="F203">
        <v>414</v>
      </c>
      <c r="G203" t="s">
        <v>1176</v>
      </c>
      <c r="H203" t="s">
        <v>1225</v>
      </c>
      <c r="I203" s="2">
        <v>-0.1106</v>
      </c>
      <c r="J203" t="s">
        <v>1177</v>
      </c>
      <c r="K203" t="s">
        <v>1262</v>
      </c>
      <c r="L203">
        <v>1</v>
      </c>
      <c r="M203">
        <v>1</v>
      </c>
      <c r="N203" t="str">
        <f t="shared" si="3"/>
        <v>2024</v>
      </c>
    </row>
    <row r="204" spans="1:14" hidden="1" x14ac:dyDescent="0.3">
      <c r="A204" t="s">
        <v>575</v>
      </c>
      <c r="B204" t="s">
        <v>576</v>
      </c>
      <c r="C204" t="s">
        <v>1178</v>
      </c>
      <c r="D204" t="s">
        <v>577</v>
      </c>
      <c r="E204">
        <v>38</v>
      </c>
      <c r="F204">
        <v>155</v>
      </c>
      <c r="G204" t="s">
        <v>1179</v>
      </c>
      <c r="H204" t="s">
        <v>1226</v>
      </c>
      <c r="I204" s="2">
        <v>0.31319999999999998</v>
      </c>
      <c r="J204" t="s">
        <v>1180</v>
      </c>
      <c r="K204" t="s">
        <v>1263</v>
      </c>
      <c r="L204">
        <v>1</v>
      </c>
      <c r="M204">
        <v>1</v>
      </c>
      <c r="N204" t="str">
        <f t="shared" si="3"/>
        <v>2024</v>
      </c>
    </row>
    <row r="205" spans="1:14" hidden="1" x14ac:dyDescent="0.3">
      <c r="A205" t="s">
        <v>578</v>
      </c>
      <c r="B205" t="s">
        <v>579</v>
      </c>
      <c r="C205" t="s">
        <v>1181</v>
      </c>
      <c r="D205" t="s">
        <v>580</v>
      </c>
      <c r="E205">
        <v>155</v>
      </c>
      <c r="F205">
        <v>135</v>
      </c>
      <c r="G205" t="s">
        <v>1182</v>
      </c>
      <c r="H205" s="2">
        <v>1.2593000000000001</v>
      </c>
      <c r="I205" s="2">
        <v>1.7463</v>
      </c>
      <c r="J205" t="s">
        <v>1183</v>
      </c>
      <c r="K205">
        <v>305.00549999999998</v>
      </c>
      <c r="L205">
        <v>1</v>
      </c>
      <c r="M205">
        <v>1</v>
      </c>
      <c r="N205" t="str">
        <f t="shared" si="3"/>
        <v>2024</v>
      </c>
    </row>
    <row r="206" spans="1:14" hidden="1" x14ac:dyDescent="0.3">
      <c r="A206" t="s">
        <v>581</v>
      </c>
      <c r="B206" t="s">
        <v>582</v>
      </c>
      <c r="C206" t="s">
        <v>1184</v>
      </c>
      <c r="D206" t="s">
        <v>583</v>
      </c>
      <c r="E206">
        <v>13</v>
      </c>
      <c r="F206">
        <v>41</v>
      </c>
      <c r="G206" t="s">
        <v>1185</v>
      </c>
      <c r="H206" t="s">
        <v>1227</v>
      </c>
      <c r="I206" s="2">
        <v>0.43390000000000001</v>
      </c>
      <c r="J206" t="s">
        <v>1186</v>
      </c>
      <c r="K206" t="s">
        <v>1264</v>
      </c>
      <c r="L206">
        <v>1</v>
      </c>
      <c r="M206">
        <v>1</v>
      </c>
      <c r="N206" t="str">
        <f t="shared" si="3"/>
        <v>2024</v>
      </c>
    </row>
    <row r="207" spans="1:14" hidden="1" x14ac:dyDescent="0.3">
      <c r="A207" t="s">
        <v>584</v>
      </c>
      <c r="B207" t="s">
        <v>585</v>
      </c>
      <c r="C207" t="s">
        <v>1187</v>
      </c>
      <c r="D207" t="s">
        <v>586</v>
      </c>
      <c r="E207">
        <v>5</v>
      </c>
      <c r="F207">
        <v>230</v>
      </c>
      <c r="G207" t="s">
        <v>1188</v>
      </c>
      <c r="H207" t="s">
        <v>1228</v>
      </c>
      <c r="I207" s="2">
        <v>-9.7000000000000003E-2</v>
      </c>
      <c r="J207" t="s">
        <v>1189</v>
      </c>
      <c r="K207" t="s">
        <v>1265</v>
      </c>
      <c r="L207">
        <v>1</v>
      </c>
      <c r="M207">
        <v>1</v>
      </c>
      <c r="N207" t="str">
        <f t="shared" si="3"/>
        <v>2024</v>
      </c>
    </row>
    <row r="208" spans="1:14" hidden="1" x14ac:dyDescent="0.3">
      <c r="A208" t="s">
        <v>587</v>
      </c>
      <c r="B208" t="s">
        <v>588</v>
      </c>
      <c r="C208" t="s">
        <v>1190</v>
      </c>
      <c r="D208" t="s">
        <v>589</v>
      </c>
      <c r="E208">
        <v>34</v>
      </c>
      <c r="F208">
        <v>418</v>
      </c>
      <c r="G208" t="s">
        <v>1191</v>
      </c>
      <c r="H208" t="s">
        <v>1229</v>
      </c>
      <c r="I208" s="2">
        <v>0.1106</v>
      </c>
      <c r="J208" t="s">
        <v>1192</v>
      </c>
      <c r="K208" t="s">
        <v>1266</v>
      </c>
      <c r="L208">
        <v>1</v>
      </c>
      <c r="M208">
        <v>1</v>
      </c>
      <c r="N208" t="str">
        <f t="shared" si="3"/>
        <v>2024</v>
      </c>
    </row>
    <row r="209" spans="1:14" hidden="1" x14ac:dyDescent="0.3">
      <c r="A209" t="s">
        <v>590</v>
      </c>
      <c r="B209" t="s">
        <v>591</v>
      </c>
      <c r="C209" t="s">
        <v>1193</v>
      </c>
      <c r="D209" t="s">
        <v>592</v>
      </c>
      <c r="E209">
        <v>38</v>
      </c>
      <c r="F209">
        <v>331</v>
      </c>
      <c r="G209" t="s">
        <v>1194</v>
      </c>
      <c r="H209" t="s">
        <v>1230</v>
      </c>
      <c r="I209" s="2">
        <v>0.31180000000000002</v>
      </c>
      <c r="J209" t="s">
        <v>1195</v>
      </c>
      <c r="K209" t="s">
        <v>1267</v>
      </c>
      <c r="L209">
        <v>1</v>
      </c>
      <c r="M209">
        <v>1</v>
      </c>
      <c r="N209" t="str">
        <f t="shared" si="3"/>
        <v>2024</v>
      </c>
    </row>
  </sheetData>
  <autoFilter ref="A1:N209" xr:uid="{00000000-0001-0000-0000-000000000000}">
    <filterColumn colId="13">
      <filters>
        <filter val="2023"/>
      </filters>
    </filterColumn>
  </autoFilter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 Ghosh</cp:lastModifiedBy>
  <dcterms:created xsi:type="dcterms:W3CDTF">2024-07-25T03:30:52Z</dcterms:created>
  <dcterms:modified xsi:type="dcterms:W3CDTF">2024-08-04T15:45:01Z</dcterms:modified>
</cp:coreProperties>
</file>